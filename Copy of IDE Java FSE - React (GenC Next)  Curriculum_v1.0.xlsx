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2133122\Downloads\IDE Java FSE - React GenC Next\"/>
    </mc:Choice>
  </mc:AlternateContent>
  <xr:revisionPtr revIDLastSave="0" documentId="8_{445C1BAF-D7FA-4CE6-89A3-CD4BF0B4DEFC}" xr6:coauthVersionLast="47" xr6:coauthVersionMax="47" xr10:uidLastSave="{00000000-0000-0000-0000-000000000000}"/>
  <bookViews>
    <workbookView xWindow="-110" yWindow="-110" windowWidth="19420" windowHeight="10300" tabRatio="936" activeTab="2" xr2:uid="{00000000-000D-0000-FFFF-FFFF00000000}"/>
  </bookViews>
  <sheets>
    <sheet name="About the Curriculum" sheetId="1" r:id="rId1"/>
    <sheet name="Module List" sheetId="9" r:id="rId2"/>
    <sheet name="Performance Outcomes" sheetId="3" r:id="rId3"/>
    <sheet name="Sprint 0&amp;1 - Tech Scope" sheetId="5" r:id="rId4"/>
    <sheet name="Sprint 2 - Tech Scope" sheetId="6" r:id="rId5"/>
    <sheet name="Sprint 3 - Tech Scope" sheetId="13" r:id="rId6"/>
    <sheet name="Stage 4 - Tech Scope" sheetId="7" r:id="rId7"/>
    <sheet name="BH Training - Scope" sheetId="10" r:id="rId8"/>
    <sheet name="AI Accelerate - Coverage" sheetId="11" r:id="rId9"/>
    <sheet name="GitHub Copilot - Coverage"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9" l="1"/>
  <c r="J31" i="9" s="1"/>
  <c r="I30" i="9"/>
  <c r="I29" i="9"/>
  <c r="I27" i="9"/>
  <c r="J27" i="9" s="1"/>
  <c r="I19" i="9"/>
  <c r="J19" i="9" s="1"/>
  <c r="I15" i="9"/>
  <c r="J15" i="9" s="1"/>
  <c r="I8" i="9"/>
  <c r="J8" i="9" s="1"/>
  <c r="I2" i="9"/>
  <c r="J2" i="9" s="1"/>
  <c r="I32" i="9" l="1"/>
  <c r="J30" i="9"/>
  <c r="J29" i="9"/>
  <c r="J32" i="9" s="1"/>
</calcChain>
</file>

<file path=xl/sharedStrings.xml><?xml version="1.0" encoding="utf-8"?>
<sst xmlns="http://schemas.openxmlformats.org/spreadsheetml/2006/main" count="593" uniqueCount="483">
  <si>
    <t>IDE Java FSE - React (GenC Next)  Curriculum</t>
  </si>
  <si>
    <t>1. Name of the track</t>
  </si>
  <si>
    <t>IDE Java FSE - React (GenC Next)</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</si>
  <si>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</si>
  <si>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</si>
  <si>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</si>
  <si>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</si>
  <si>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</si>
  <si>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Interns/GENCs tagged to IDE Java FSE - React (GenC Next)</t>
  </si>
  <si>
    <t>6. What is the gating criteria?</t>
  </si>
  <si>
    <r>
      <t xml:space="preserve">To be eligible for deployment to the business, a candidate must achieve a </t>
    </r>
    <r>
      <rPr>
        <b/>
        <sz val="11"/>
        <color rgb="FF000000"/>
        <rFont val="Arial"/>
        <family val="2"/>
      </rPr>
      <t>Performance Health Status (PHS) of Green in the Final Evaluation.</t>
    </r>
  </si>
  <si>
    <t>Stages/Levels</t>
  </si>
  <si>
    <t>Agile Sprints</t>
  </si>
  <si>
    <t>Course Categories</t>
  </si>
  <si>
    <t>Courses/Modules</t>
  </si>
  <si>
    <t>Delivery Mode</t>
  </si>
  <si>
    <t>Baseline Duration(Hrs.)</t>
  </si>
  <si>
    <t>Enablement Assured Level</t>
  </si>
  <si>
    <t>Assessment Assured Level</t>
  </si>
  <si>
    <t>Stage wise -Total Duration (Hrs)</t>
  </si>
  <si>
    <t>Stage wise -Total Duration (Wks)</t>
  </si>
  <si>
    <t>Stage 1</t>
  </si>
  <si>
    <t>Sprint 0</t>
  </si>
  <si>
    <t>Software Development Methodology</t>
  </si>
  <si>
    <t>Agile Methodology</t>
  </si>
  <si>
    <t>Blended Learning</t>
  </si>
  <si>
    <t>Knowledge</t>
  </si>
  <si>
    <t>Version Control</t>
  </si>
  <si>
    <t>Git Basics</t>
  </si>
  <si>
    <t>Skill</t>
  </si>
  <si>
    <t>Project Management &amp; Agile Tools</t>
  </si>
  <si>
    <t>Jira Basics</t>
  </si>
  <si>
    <t>Sprint 1</t>
  </si>
  <si>
    <t>Reactive Programming</t>
  </si>
  <si>
    <t>Reactive Programming with Java</t>
  </si>
  <si>
    <t>Software Architecture &amp; Design</t>
  </si>
  <si>
    <t>Design Patterns and Principles</t>
  </si>
  <si>
    <t>Gen AI Learning</t>
  </si>
  <si>
    <t>AI Accelerate</t>
  </si>
  <si>
    <t>E-Learning</t>
  </si>
  <si>
    <t>Stage 2</t>
  </si>
  <si>
    <t>Sprint 2</t>
  </si>
  <si>
    <t>Reactive Web Applications</t>
  </si>
  <si>
    <t>Reactive Programming Using Spring Webflux Framework</t>
  </si>
  <si>
    <t>Testing &amp; Test-Driven Development</t>
  </si>
  <si>
    <t>TDD using JUnit and Mockito</t>
  </si>
  <si>
    <t>Logging &amp; Code Simplification</t>
  </si>
  <si>
    <t>SLF4J and Lombok</t>
  </si>
  <si>
    <t>ORM &amp; Data Persistence</t>
  </si>
  <si>
    <t>Spring Data JPA with Spring Boot, Hibernate</t>
  </si>
  <si>
    <t>RESTful API Development</t>
  </si>
  <si>
    <t>Spring REST using Spring Boot 3</t>
  </si>
  <si>
    <t>Debugging &amp; Troubleshooting</t>
  </si>
  <si>
    <t>Application Debugging - Backend</t>
  </si>
  <si>
    <t>Hands-On</t>
  </si>
  <si>
    <t>Cognizant Gen AI Platform</t>
  </si>
  <si>
    <t>Cognizant Flowsource 101 foundation program [101-BASICS] (ELRNG02089)</t>
  </si>
  <si>
    <t>Sprint 3</t>
  </si>
  <si>
    <t xml:space="preserve">Microservices </t>
  </si>
  <si>
    <t>Microservices with Spring Boot 3 and Spring Cloud</t>
  </si>
  <si>
    <t>Containerization</t>
  </si>
  <si>
    <t>Docker Basics</t>
  </si>
  <si>
    <t>Gen AI - Code Companion Tools</t>
  </si>
  <si>
    <t>GitHub Copilot</t>
  </si>
  <si>
    <t>Evaluation</t>
  </si>
  <si>
    <t>Interim Evaluation</t>
  </si>
  <si>
    <t>Video Interview</t>
  </si>
  <si>
    <t>Stage 3</t>
  </si>
  <si>
    <t>Sprint 4</t>
  </si>
  <si>
    <t>JavaScript Runtime Environment</t>
  </si>
  <si>
    <t>Node.js Fundamentals</t>
  </si>
  <si>
    <t>Front-End Development</t>
  </si>
  <si>
    <t>TypeScript Basics</t>
  </si>
  <si>
    <t>Front-End Toolkit</t>
  </si>
  <si>
    <t>Bootstrap 5</t>
  </si>
  <si>
    <t>Front-End JS Library</t>
  </si>
  <si>
    <t>React(v18)</t>
  </si>
  <si>
    <t>Application Debugging - Front-end</t>
  </si>
  <si>
    <t>Code Quality &amp; Static Analysis</t>
  </si>
  <si>
    <t>Code Quality Standards</t>
  </si>
  <si>
    <t>SonarQube</t>
  </si>
  <si>
    <t>Cloud and DevOps</t>
  </si>
  <si>
    <t>Cloud and DevOps using AWS</t>
  </si>
  <si>
    <t>Final Evaluation</t>
  </si>
  <si>
    <t>Certification</t>
  </si>
  <si>
    <t>NA</t>
  </si>
  <si>
    <t>Others</t>
  </si>
  <si>
    <t>Final Assessment</t>
  </si>
  <si>
    <t>HackerRank Prep &amp; Assessment</t>
  </si>
  <si>
    <t>Behavioral Training</t>
  </si>
  <si>
    <t>Behavioral Sessions</t>
  </si>
  <si>
    <t>Cohort Mentoring</t>
  </si>
  <si>
    <t>Cohort Mentor Sessions</t>
  </si>
  <si>
    <t>ILT/VILT</t>
  </si>
  <si>
    <t>Leadership Connects</t>
  </si>
  <si>
    <t>Mandatory Learning (Clearn)</t>
  </si>
  <si>
    <t>Java Security Fundamentals (CTKJE819)</t>
  </si>
  <si>
    <t>Java Advanced Secure Coding (ELRNG00274)</t>
  </si>
  <si>
    <t>Sprints</t>
  </si>
  <si>
    <t>Competency Type</t>
  </si>
  <si>
    <t>Key Performance Outcomes</t>
  </si>
  <si>
    <t>Sprint 0&amp;1</t>
  </si>
  <si>
    <t>Technical</t>
  </si>
  <si>
    <t>• Applies Agile principles to manage tasks and deliver incremental value through sprints.
• Participates effectively in Agile ceremonies and contributes to team collaboration and continuous improvement.
• Manages source code using Git commands for branching, committing, merging, and resolving conflicts.
• Collaborates on projects using pull requests and version control best practices.
• Creates and manages issues in Jira, tracking progress through workflows and boards.
• Uses Jira reports and dashboards to monitor sprint performance and team productivity.
• Implements reactive streams using Java to handle asynchronous data flows.
• Builds non-blocking applications using Publisher, Subscriber, and Processor interfaces.
• Applies key design patterns (e.g., Singleton, Factory, Observer) to solve common software design problems.
• Demonstrates understanding of SOLID principles to write maintainable and scalable code.</t>
  </si>
  <si>
    <t>• Develops reactive REST APIs using Spring WebFlux with Mono and Flux types.
• Integrates reactive data access and handles backpressure in high-throughput applications.
• Writes unit tests using JUnit and mocks dependencies with Mockito to validate application logic.
• Practices Test-Driven Development (TDD) by writing tests before implementing functionality.
• Implements logging using SLF4J with various logging frameworks for consistent output.
• Uses Lombok annotations to reduce boilerplate code and improve readability.
• Builds data access layers using Spring Data JPA with Hibernate for ORM.
• Performs CRUD operations and custom queries using repository interfaces and JPQL.
• Develops RESTful APIs using Spring Boot 3 with proper request handling and response formatting.
• Secures APIs and integrates Swagger for documentation and testing.
• Identifies and resolves backend issues using debugging tools, logs, and breakpoints.
• Traces and fixes logic errors across service, repository, and controller layers.</t>
  </si>
  <si>
    <t>• Designs and deploys microservices using Spring Boot 3 with service discovery, configuration, and resilience patterns.
• Integrates microservices using REST, message queues, and API gateways.
• Builds and runs containerized applications using Docker images and containers.
• Uses Docker Compose to manage multi-container environments for development and testing.</t>
  </si>
  <si>
    <t>• Describe the role of Node.js in full-stack development and identify its use cases for server-side programming.
• Write type-safe JavaScript code using TypeScript features such as interfaces, classes, and generics.
• Design responsive and mobile-friendly user interfaces using Bootstrap 5 components and grid system.
• Builds dynamic and responsive user interfaces using React 18 features such as concurrent rendering, hooks, and component-based architecture.
• Manages application state effectively using Context API or third-party libraries, and integrates REST APIs for data-driven UI updates.
• Identifies and resolves front-end issues using browser developer tools, console logs, and breakpoints.
• Deploys applications to AWS using services like EC2, S3, Lambda, and RDS.
• Implements CI/CD pipelines using AWS DevOps tools for automated build and deployment.
• Adheres to coding standards and best practices to ensure readability, maintainability, and performance.
• Uses static code analysis tools to identify and fix code quality issues.
• Analyzes code quality using SonarQube and interprets metrics like code smells, bugs, and vulnerabilities.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</si>
  <si>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</si>
  <si>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</si>
  <si>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</si>
  <si>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</si>
  <si>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</si>
  <si>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</si>
  <si>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</si>
  <si>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</si>
  <si>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</si>
  <si>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</si>
  <si>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</si>
  <si>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</si>
  <si>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</si>
  <si>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</si>
  <si>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Version Control</t>
  </si>
  <si>
    <r>
      <rPr>
        <b/>
        <sz val="11"/>
        <color rgb="FF000000"/>
        <rFont val="Arial"/>
        <family val="2"/>
      </rPr>
      <t>Version Control Concepts</t>
    </r>
    <r>
      <rPr>
        <sz val="11"/>
        <color rgb="FF000000"/>
        <rFont val="Arial"/>
        <family val="2"/>
      </rPr>
      <t>-Definition and Purpose, Benefits of Version Control, Types of Version Control Systems</t>
    </r>
  </si>
  <si>
    <t>Understanding Git</t>
  </si>
  <si>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</si>
  <si>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t>Setting Up Git</t>
  </si>
  <si>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</si>
  <si>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t>Basic Git Commands</t>
  </si>
  <si>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</si>
  <si>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t>Branching and Merging</t>
  </si>
  <si>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</si>
  <si>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t>Remote Repositories</t>
  </si>
  <si>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</si>
  <si>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t>Collaborating with Git</t>
  </si>
  <si>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</si>
  <si>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</si>
  <si>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</si>
  <si>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</si>
  <si>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</si>
  <si>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</si>
  <si>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</si>
  <si>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</si>
  <si>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</si>
  <si>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</si>
  <si>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</si>
  <si>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</si>
  <si>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</si>
  <si>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t>Core Java Enhancements</t>
  </si>
  <si>
    <r>
      <rPr>
        <b/>
        <sz val="11"/>
        <rFont val="Arial"/>
        <family val="2"/>
      </rPr>
      <t xml:space="preserve">Java 8+ Features: </t>
    </r>
    <r>
      <rPr>
        <sz val="11"/>
        <rFont val="Arial"/>
        <family val="2"/>
      </rPr>
      <t xml:space="preserve">Functional Programming (Lambda Expressions, Method References), Streams API (Intermediate and Terminal Operations, Parallel Streams), Optional Class (Handling Null Values Gracefully), Default and Static Methods in Interfaces, </t>
    </r>
    <r>
      <rPr>
        <b/>
        <sz val="11"/>
        <rFont val="Arial"/>
        <family val="2"/>
      </rPr>
      <t xml:space="preserve">Enhancements in Java 9-21:  </t>
    </r>
    <r>
      <rPr>
        <sz val="11"/>
        <rFont val="Arial"/>
        <family val="2"/>
      </rPr>
      <t>Syntax enhancements (var, private methods in interfaces)</t>
    </r>
    <r>
      <rPr>
        <b/>
        <sz val="11"/>
        <rFont val="Arial"/>
        <family val="2"/>
      </rPr>
      <t xml:space="preserve"> , </t>
    </r>
    <r>
      <rPr>
        <sz val="11"/>
        <rFont val="Arial"/>
        <family val="2"/>
      </rPr>
      <t>Streamlined IO, new String methods, switch expressions, Text blocks, records, pattern matching, Finalized records and sealed classes, UTF-8 default, virtual threads preview, Finalized virtual threads, pattern matching, new collections API</t>
    </r>
  </si>
  <si>
    <t>Introduction to Reactive Programming</t>
  </si>
  <si>
    <r>
      <rPr>
        <b/>
        <sz val="11"/>
        <rFont val="Arial"/>
        <family val="2"/>
      </rPr>
      <t xml:space="preserve">What is Reactive Programming?: </t>
    </r>
    <r>
      <rPr>
        <sz val="11"/>
        <rFont val="Arial"/>
        <family val="2"/>
      </rPr>
      <t xml:space="preserve">Imperative vs. Reactive Programming, Synchronous vs. Asynchronous Execution, Blocking vs. Non-Blocking Calls; </t>
    </r>
    <r>
      <rPr>
        <b/>
        <sz val="11"/>
        <rFont val="Arial"/>
        <family val="2"/>
      </rPr>
      <t xml:space="preserve">Reactive Streams Specification:  </t>
    </r>
    <r>
      <rPr>
        <sz val="11"/>
        <rFont val="Arial"/>
        <family val="2"/>
      </rPr>
      <t>Publisher, Subscriber, Subscription, Processor, Backpressure Handling</t>
    </r>
  </si>
  <si>
    <t>Reactive Programming with Project Reactor</t>
  </si>
  <si>
    <r>
      <rPr>
        <b/>
        <sz val="11"/>
        <rFont val="Arial"/>
        <family val="2"/>
      </rPr>
      <t xml:space="preserve">Introduction to Project Reactor: </t>
    </r>
    <r>
      <rPr>
        <sz val="11"/>
        <rFont val="Arial"/>
        <family val="2"/>
      </rPr>
      <t>Mono and Flux - The Two Core Reactive Types, Creating, Transforming, and Subscribing to Streams;</t>
    </r>
    <r>
      <rPr>
        <b/>
        <sz val="11"/>
        <rFont val="Arial"/>
        <family val="2"/>
      </rPr>
      <t xml:space="preserve"> Operators in Reactor:</t>
    </r>
    <r>
      <rPr>
        <sz val="11"/>
        <rFont val="Arial"/>
        <family val="2"/>
      </rPr>
      <t xml:space="preserve"> Transformation Operators: map(), flatMap(), concatMap(); Filtering Operators: filter(), distinct(), take(), skip(); Combining Operators: merge(), zip(), concat(), combineLatest(); Error Handling: onErrorResume(), onErrorContinue(), retry(); </t>
    </r>
    <r>
      <rPr>
        <b/>
        <sz val="11"/>
        <rFont val="Arial"/>
        <family val="2"/>
      </rPr>
      <t>Backpressure Strategies:</t>
    </r>
    <r>
      <rPr>
        <sz val="11"/>
        <rFont val="Arial"/>
        <family val="2"/>
      </rPr>
      <t xml:space="preserve"> Understanding Backpressure, Buffering, Dropping, and Latest Strategies</t>
    </r>
  </si>
  <si>
    <t>Advanced Concepts in Reactive Programming</t>
  </si>
  <si>
    <r>
      <rPr>
        <b/>
        <sz val="11"/>
        <rFont val="Arial"/>
        <family val="2"/>
      </rPr>
      <t>Threading Model in Project Reactor:</t>
    </r>
    <r>
      <rPr>
        <sz val="11"/>
        <rFont val="Arial"/>
        <family val="2"/>
      </rPr>
      <t xml:space="preserve"> Schedulers.parallel(), Schedulers.elastic(), Schedulers.single(); </t>
    </r>
    <r>
      <rPr>
        <b/>
        <sz val="11"/>
        <rFont val="Arial"/>
        <family val="2"/>
      </rPr>
      <t>Reactive Testing:</t>
    </r>
    <r>
      <rPr>
        <sz val="11"/>
        <rFont val="Arial"/>
        <family val="2"/>
      </rPr>
      <t xml:space="preserve"> Unit Testing with StepVerifier, Mocking Reactive Streams; </t>
    </r>
    <r>
      <rPr>
        <b/>
        <sz val="11"/>
        <rFont val="Arial"/>
        <family val="2"/>
      </rPr>
      <t>Debugging and Performance Optimization:</t>
    </r>
    <r>
      <rPr>
        <sz val="11"/>
        <rFont val="Arial"/>
        <family val="2"/>
      </rPr>
      <t xml:space="preserve"> Using log(), doOnNext(), doOnError(), Common Pitfalls in Reactive Programming</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</si>
  <si>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</si>
  <si>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</si>
  <si>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</si>
  <si>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</si>
  <si>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</si>
  <si>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</si>
  <si>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</si>
  <si>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</si>
  <si>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</si>
  <si>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</si>
  <si>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</si>
  <si>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</si>
  <si>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r>
      <t xml:space="preserve">Understanding Reactive Programming, Reactive vs. Imperative Programming, Reactive Streams Specification, </t>
    </r>
    <r>
      <rPr>
        <b/>
        <sz val="11"/>
        <rFont val="Arial"/>
        <family val="2"/>
      </rPr>
      <t>Project Reactor: Core Concepts</t>
    </r>
    <r>
      <rPr>
        <sz val="11"/>
        <rFont val="Arial"/>
        <family val="2"/>
      </rPr>
      <t xml:space="preserve">
Mono &amp; Flux (Reactive Data Types), Backpressure &amp; Demand Handling</t>
    </r>
  </si>
  <si>
    <t>Setting Up Spring WebFlux</t>
  </si>
  <si>
    <t>WebFlux vs. Spring MVC (Blocking vs. Non-Blocking), Creating a Spring Boot WebFlux Project, Understanding Reactor Operators (map(), flatMap(), filter()), Writing Reactive REST APIs with @RestController</t>
  </si>
  <si>
    <t>Reactive Data Access (MongoDB &amp; R2DBC)</t>
  </si>
  <si>
    <t>Introduction to Spring Data R2DBC (Reactive Relational DB), Using ReactiveCrudRepository, Working with ReactiveMongoRepository for MongoDB, Streaming Data with Tailable Cursors</t>
  </si>
  <si>
    <t>Handling Backpressure &amp; Performance Optimization</t>
  </si>
  <si>
    <t>Understanding Backpressure, Strategies: Buffering, Throttling, Windowing, Implementing Rate Limiting in WebFlux, Performance Tuning for High Throughput APIs</t>
  </si>
  <si>
    <t>Event-Driven Programming with SSE &amp; WebSockets</t>
  </si>
  <si>
    <t>Server-Sent Events (SSE) in WebFlux, WebSockets vs. SSE, Streaming Real-Time Data in WebFlux, Handling Real-Time Bidirectional Communication</t>
  </si>
  <si>
    <t>Exception Handling &amp; Resilience Patterns</t>
  </si>
  <si>
    <t>Global Exception Handling in WebFlux, Implementing Retry &amp; Timeout Mechanisms, Circuit Breaker Pattern with Resilience4J, Graceful Degradation in Reactive Systems</t>
  </si>
  <si>
    <t xml:space="preserve">Testing Reactive Applications </t>
  </si>
  <si>
    <t>Writing Unit Tests with StepVerifier, Integration Testing using WebTestClient, Simulating Streaming &amp; Backpressure Scenarios</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</si>
  <si>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</si>
  <si>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</si>
  <si>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</si>
  <si>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</si>
  <si>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</si>
  <si>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</si>
  <si>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</si>
  <si>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</si>
  <si>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</si>
  <si>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</si>
  <si>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</si>
  <si>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</si>
  <si>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Introduction to SLF4J</t>
  </si>
  <si>
    <t>Overview of SLF4J, Benefits of using SLF4J, Comparison with other logging frameworks (Log4j, JUL, etc.), How SLF4J acts as a façade for various logging frameworks</t>
  </si>
  <si>
    <t>Setting Up SLF4J</t>
  </si>
  <si>
    <t>Adding SLF4J dependencies in Maven/Gradle, Bridging SLF4J with existing logging frameworks, Using SLF4J with popular frameworks like Logback</t>
  </si>
  <si>
    <t>Core Concepts of SLF4J</t>
  </si>
  <si>
    <t>Logger interface and its methods, Logging levels (TRACE, DEBUG, INFO, WARN, ERROR), Parameterized logging, Avoiding string concatenation for logging efficiency</t>
  </si>
  <si>
    <t>Introduction to Lombok</t>
  </si>
  <si>
    <t>Overview of Lombok, Benefits of reducing boilerplate code, Integration with IDEs (IntelliJ IDEA, Eclipse, etc.), Compatibility with build tools (Maven, Gradle)</t>
  </si>
  <si>
    <t>Key Lombok Annotations</t>
  </si>
  <si>
    <t xml:space="preserve"> @Getter and @Setter: Automatically generate getter and setter methods, @ToString: Generate toString() method, @EqualsAndHashCode: Generate equals() and hashCode() methods, @NoArgsConstructor,  @AllArgsConstructor, @RequiredArgsConstructor: Generate constructors</t>
  </si>
  <si>
    <t>Advanced Lombok Features</t>
  </si>
  <si>
    <t>Data: Combining multiple annotations for a POJO, @Builder: Creating builder patterns effortlessly, @Slf4j: Integrating SLF4J logging, @Value: For immutable classes, @With: Generating "with" methods for immutability</t>
  </si>
  <si>
    <t>Lombok and IDEs</t>
  </si>
  <si>
    <t>Configuring Lombok in IntelliJ IDEA and Eclipse, Troubleshooting annotation processing issues, Debugging Lombok-generated code</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</si>
  <si>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</si>
  <si>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</si>
  <si>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</si>
  <si>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</si>
  <si>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</si>
  <si>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</si>
  <si>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</si>
  <si>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</si>
  <si>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</si>
  <si>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</si>
  <si>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</si>
  <si>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</si>
  <si>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</si>
  <si>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</si>
  <si>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</si>
  <si>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</si>
  <si>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</si>
  <si>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</si>
  <si>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</si>
  <si>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</si>
  <si>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</si>
  <si>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</si>
  <si>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</si>
  <si>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</si>
  <si>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</si>
  <si>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</si>
  <si>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</si>
  <si>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</si>
  <si>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</si>
  <si>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</si>
  <si>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</si>
  <si>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</si>
  <si>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</si>
  <si>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</si>
  <si>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</si>
  <si>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</si>
  <si>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</si>
  <si>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</si>
  <si>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</si>
  <si>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</si>
  <si>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</si>
  <si>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</si>
  <si>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</si>
  <si>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</si>
  <si>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</si>
  <si>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</si>
  <si>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</si>
  <si>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</si>
  <si>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</si>
  <si>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</si>
  <si>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</si>
  <si>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</si>
  <si>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</si>
  <si>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</si>
  <si>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</si>
  <si>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</si>
  <si>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</si>
  <si>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</si>
  <si>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</si>
  <si>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</si>
  <si>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</si>
  <si>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</si>
  <si>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</si>
  <si>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</si>
  <si>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</si>
  <si>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</si>
  <si>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</si>
  <si>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</si>
  <si>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</si>
  <si>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</si>
  <si>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</si>
  <si>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</si>
  <si>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</si>
  <si>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</si>
  <si>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</si>
  <si>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</si>
  <si>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</si>
  <si>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</si>
  <si>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</si>
  <si>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</si>
  <si>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</si>
  <si>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</si>
  <si>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</si>
  <si>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t>Asynchronous Programming Basics</t>
  </si>
  <si>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</si>
  <si>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</si>
  <si>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</si>
  <si>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</si>
  <si>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</si>
  <si>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</si>
  <si>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</si>
  <si>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</si>
  <si>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</si>
  <si>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</si>
  <si>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</si>
  <si>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</si>
  <si>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</si>
  <si>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</si>
  <si>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</si>
  <si>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</si>
  <si>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</si>
  <si>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</si>
  <si>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</si>
  <si>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</si>
  <si>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</si>
  <si>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</si>
  <si>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</si>
  <si>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</si>
  <si>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</si>
  <si>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</si>
  <si>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</si>
  <si>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</si>
  <si>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</si>
  <si>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</si>
  <si>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</si>
  <si>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</si>
  <si>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</si>
  <si>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</si>
  <si>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</si>
  <si>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</si>
  <si>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</si>
  <si>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</si>
  <si>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</si>
  <si>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</si>
  <si>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</si>
  <si>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</si>
  <si>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</si>
  <si>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</si>
  <si>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</si>
  <si>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</si>
  <si>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</si>
  <si>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</si>
  <si>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</si>
  <si>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Applicatiion Debugging-Frontend</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</si>
  <si>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</si>
  <si>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</si>
  <si>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</si>
  <si>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</si>
  <si>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</si>
  <si>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</si>
  <si>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</si>
  <si>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</si>
  <si>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</si>
  <si>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</si>
  <si>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</si>
  <si>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</si>
  <si>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</si>
  <si>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</si>
  <si>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</si>
  <si>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</si>
  <si>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</si>
  <si>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</si>
  <si>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t>AWS Storage Services</t>
  </si>
  <si>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</si>
  <si>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</si>
  <si>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t>AWS Networking</t>
  </si>
  <si>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</si>
  <si>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t>AWS Database Services</t>
  </si>
  <si>
    <r>
      <t>Amazon RDS</t>
    </r>
    <r>
      <rPr>
        <sz val="11"/>
        <color rgb="FF000000"/>
        <rFont val="Arial"/>
        <family val="2"/>
      </rPr>
      <t>-Creating and managing database instances, Multi-AZ deployments; Amazon DynamoDB-NoSQL basics, Creating and querying tables</t>
    </r>
  </si>
  <si>
    <t>AWS Identity and Access Management (IAM)</t>
  </si>
  <si>
    <t>Users, groups, and roles, Policies and permissions, MFA (Multi-Factor Authentication)</t>
  </si>
  <si>
    <t>Amazon Elastic Kubernetes Service (EKS)</t>
  </si>
  <si>
    <t>Introduction and Setup, Setting Up an EKS Cluster, Deploying a Sample Application, Networking in EKS, Scaling and Performance Optimization, Monitoring and Logging in EKS, Security Best Practices in EKS, Storage and Data Management in EKS, Cost Optimization and Troubleshooting</t>
  </si>
  <si>
    <t>Amazon Elastic Container Registry (ECR)</t>
  </si>
  <si>
    <t>Introduction and Setup, Setting Up Amazon ECR, Managing Docker Images in ECR, Security Best Practices in ECR, Integrating ECR with AWS ECS and EKS, Automating CI/CD with ECR, Cost Optimization Strategies, Troubleshooting and Best Practices</t>
  </si>
  <si>
    <t>AWS Serverless Computing</t>
  </si>
  <si>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</si>
  <si>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t>Introduction</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</si>
  <si>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</si>
  <si>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</si>
  <si>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</si>
  <si>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</si>
  <si>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</si>
  <si>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</si>
  <si>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</si>
  <si>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</si>
  <si>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</si>
  <si>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Code Quality Standards</t>
  </si>
  <si>
    <t>Importance of Code Quality, Benefits of Maintaining Standards, Common Challenges in Ensuring Quality</t>
  </si>
  <si>
    <t>Java Coding Conventions</t>
  </si>
  <si>
    <t>Naming Conventions, Formatting Standards, Comments and Documentation, Package and Import Statements</t>
  </si>
  <si>
    <t>Static Code Analysis Tools</t>
  </si>
  <si>
    <t>Overview of Static Code Analysis, Popular Tools (Checkstyle, PMD (Programming Mistake Detector), SpotBugs (formerly FindBugs)), Configuring and Running Tools, Interpreting Results</t>
  </si>
  <si>
    <t>Code Reviews</t>
  </si>
  <si>
    <t>Importance of Peer Reviews, Conducting Effective Code Reviews, Tools for Code Review (GitHub Pull Requests, Gerrit, Crucible)</t>
  </si>
  <si>
    <t>Code Quality Metrics</t>
  </si>
  <si>
    <t>Common Metrics (Cyclomatic Complexity, Code Duplication, Maintainability Index), Tools for Measuring Metrics (SonarQube, IntelliJ IDEA Code Analysis), Setting Thresholds for Quality</t>
  </si>
  <si>
    <t>Compliance and Industry Standards</t>
  </si>
  <si>
    <t>OWASP Secure Coding Guidelines for Java, ISO/IEC Standards for Code Quality</t>
  </si>
  <si>
    <t>Introduction to SonarQube</t>
  </si>
  <si>
    <t>What is SonarQube?, Purpose and Benefits - Continuous code quality inspection, Identifying technical debt., Supported Programming Languages, SonarQube Architecture</t>
  </si>
  <si>
    <t>Installing and Setting Up SonarQube</t>
  </si>
  <si>
    <t>Installation Steps (On-premises installation, Docker-based setup), Database Configuration, Starting the SonarQube Server, Accessing the Web Interface</t>
  </si>
  <si>
    <t>Key Concepts and Features</t>
  </si>
  <si>
    <t>Projects and Dashboards, Quality Profiles, Quality Gates, Issues and Code Smells, Technical Debt</t>
  </si>
  <si>
    <t>Integrating SonarQube into Development</t>
  </si>
  <si>
    <t>SonarQube Scanner, Integration with CI/CD Pipelines, Integration with Build Tools, Integration with IDEs</t>
  </si>
  <si>
    <t>Metrics and Reporting</t>
  </si>
  <si>
    <t>Code Coverage, Code Duplication, Maintainability, Reliability, and Security, Generating Reports</t>
  </si>
  <si>
    <t>Week</t>
  </si>
  <si>
    <t>Session Name</t>
  </si>
  <si>
    <t>Module</t>
  </si>
  <si>
    <t>Duration</t>
  </si>
  <si>
    <t>Week 1</t>
  </si>
  <si>
    <t>BH Pre-Assessment</t>
  </si>
  <si>
    <t>Pre-Assessment</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</si>
  <si>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</si>
  <si>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</si>
  <si>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</si>
  <si>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</si>
  <si>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</si>
  <si>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</si>
  <si>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</si>
  <si>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</si>
  <si>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</si>
  <si>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</si>
  <si>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</si>
  <si>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</si>
  <si>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</si>
  <si>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</si>
  <si>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</si>
  <si>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</si>
  <si>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</si>
  <si>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</si>
  <si>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</si>
  <si>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</si>
  <si>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</si>
  <si>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</si>
  <si>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</si>
  <si>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</si>
  <si>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</si>
  <si>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</si>
  <si>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</si>
  <si>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</si>
  <si>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</si>
  <si>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</si>
  <si>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</si>
  <si>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</si>
  <si>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</si>
  <si>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</si>
  <si>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Week 8</t>
  </si>
  <si>
    <t>BH Post-Assessment</t>
  </si>
  <si>
    <t>Post-Assessment</t>
  </si>
  <si>
    <t>Course/Assessment</t>
  </si>
  <si>
    <t>Coverage</t>
  </si>
  <si>
    <r>
      <t xml:space="preserve">Fundamentals of Generative AI [101-Basics]
Activity Code: </t>
    </r>
    <r>
      <rPr>
        <b/>
        <sz val="11"/>
        <color theme="1"/>
        <rFont val="Arial"/>
        <family val="2"/>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</si>
  <si>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</si>
  <si>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Arial"/>
        <family val="2"/>
      </rPr>
      <t>ATHDW335105</t>
    </r>
  </si>
  <si>
    <t>• This assessment is to assess the knowledge of associates on Generative AI tools and concepts at a Beginner proficiency.</t>
  </si>
  <si>
    <r>
      <t xml:space="preserve">Introduction to Responsible AI
Activity Code: </t>
    </r>
    <r>
      <rPr>
        <b/>
        <sz val="11"/>
        <color rgb="FF000000"/>
        <rFont val="Arial"/>
        <family val="2"/>
      </rPr>
      <t>CGZ-914en</t>
    </r>
  </si>
  <si>
    <t>• Overview of Responsible AI</t>
  </si>
  <si>
    <r>
      <t xml:space="preserve">Responsible AI-Deep Dive [101- BASICS]
Activity Code: </t>
    </r>
    <r>
      <rPr>
        <b/>
        <sz val="11"/>
        <color rgb="FF000000"/>
        <rFont val="Arial"/>
        <family val="2"/>
      </rPr>
      <t>ELRNG02344</t>
    </r>
  </si>
  <si>
    <t>This course focuses on Cognizant's four key principles of Responsible AI:
• Fair and Inclusive
• Accountable
• Safe, Secure, and Privacy-Enhanced
• Transparent and Explainable</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</si>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</sst>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amily val="2"/>
    </font>
    <font>
      <sz val="11"/>
      <color theme="1"/>
      <name val="Arial"/>
      <family val="2"/>
    </font>
    <font>
      <b/>
      <sz val="11"/>
      <color rgb="FF000000"/>
      <name val="Arial"/>
      <family val="2"/>
    </font>
    <font>
      <sz val="11"/>
      <color rgb="FF000000"/>
      <name val="Arial"/>
      <family val="2"/>
    </font>
    <font>
      <sz val="11"/>
      <name val="Arial"/>
      <family val="2"/>
    </font>
    <font>
      <i/>
      <sz val="11"/>
      <color rgb="FF000000"/>
      <name val="Arial"/>
      <family val="2"/>
    </font>
    <font>
      <b/>
      <sz val="11"/>
      <name val="Arial"/>
      <family val="2"/>
    </font>
    <font>
      <b/>
      <sz val="11"/>
      <color theme="1"/>
      <name val="Arial"/>
      <family val="2"/>
    </font>
    <font>
      <b/>
      <sz val="11"/>
      <color theme="0"/>
      <name val="Arial"/>
      <family val="2"/>
    </font>
    <font>
      <b/>
      <sz val="16"/>
      <color rgb="FFFFFFFF"/>
      <name val="Arial"/>
      <family val="2"/>
    </font>
    <font>
      <sz val="11"/>
      <color rgb="FF1F4E78"/>
      <name val="Arial"/>
      <family val="2"/>
    </font>
  </fonts>
  <fills count="12">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00B050"/>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FFFFFF"/>
        <bgColor rgb="FF000000"/>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2" fillId="0" borderId="0" xfId="0" applyFont="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right" vertical="top" wrapText="1"/>
    </xf>
    <xf numFmtId="0" fontId="4" fillId="0" borderId="2" xfId="0" applyFont="1" applyBorder="1" applyAlignment="1">
      <alignment horizontal="left" vertical="top" wrapText="1"/>
    </xf>
    <xf numFmtId="0" fontId="4" fillId="0" borderId="5" xfId="0" applyFont="1" applyBorder="1" applyAlignment="1">
      <alignment horizontal="left" vertical="top" wrapText="1"/>
    </xf>
    <xf numFmtId="0" fontId="5" fillId="0" borderId="1" xfId="0" applyFont="1" applyBorder="1" applyAlignment="1">
      <alignment horizontal="left" vertical="top" wrapText="1"/>
    </xf>
    <xf numFmtId="0" fontId="1" fillId="9" borderId="1" xfId="0" applyFont="1" applyFill="1" applyBorder="1" applyAlignment="1">
      <alignment horizontal="right" vertical="top" wrapText="1"/>
    </xf>
    <xf numFmtId="0" fontId="6" fillId="0" borderId="1" xfId="0" applyFont="1" applyBorder="1" applyAlignment="1">
      <alignment horizontal="left" vertical="top" wrapText="1"/>
    </xf>
    <xf numFmtId="0" fontId="4" fillId="0" borderId="1" xfId="0" applyFont="1" applyBorder="1" applyAlignment="1">
      <alignment vertical="top" wrapText="1"/>
    </xf>
    <xf numFmtId="0" fontId="4" fillId="0" borderId="11" xfId="0" applyFont="1" applyBorder="1" applyAlignment="1">
      <alignment vertical="top" wrapText="1"/>
    </xf>
    <xf numFmtId="0" fontId="4" fillId="0" borderId="3" xfId="0" applyFont="1" applyBorder="1" applyAlignment="1">
      <alignment vertical="top" wrapText="1"/>
    </xf>
    <xf numFmtId="0" fontId="1" fillId="7" borderId="1" xfId="0" applyFont="1" applyFill="1" applyBorder="1" applyAlignment="1">
      <alignment horizontal="right" vertical="top" wrapText="1"/>
    </xf>
    <xf numFmtId="0" fontId="4" fillId="0" borderId="1" xfId="0" applyFont="1" applyBorder="1" applyAlignment="1">
      <alignment horizontal="left" vertical="top"/>
    </xf>
    <xf numFmtId="0" fontId="2" fillId="0" borderId="0" xfId="0" applyFont="1" applyAlignment="1">
      <alignment horizontal="right" vertical="top"/>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2" fillId="0" borderId="1" xfId="0" applyFont="1" applyBorder="1" applyAlignment="1">
      <alignment vertical="top"/>
    </xf>
    <xf numFmtId="0" fontId="2" fillId="0" borderId="0" xfId="0" applyFont="1" applyAlignment="1">
      <alignment vertical="top"/>
    </xf>
    <xf numFmtId="0" fontId="2" fillId="0" borderId="1" xfId="0" applyFont="1" applyBorder="1" applyAlignment="1">
      <alignment horizontal="left" vertical="top"/>
    </xf>
    <xf numFmtId="0" fontId="4" fillId="0" borderId="2" xfId="0" applyFont="1" applyBorder="1" applyAlignment="1">
      <alignment horizontal="right" vertical="top" wrapText="1"/>
    </xf>
    <xf numFmtId="0" fontId="4" fillId="11" borderId="1" xfId="0" applyFont="1" applyFill="1" applyBorder="1" applyAlignment="1">
      <alignment horizontal="left" vertical="top" wrapText="1"/>
    </xf>
    <xf numFmtId="0" fontId="4" fillId="11" borderId="1" xfId="0" applyFont="1" applyFill="1" applyBorder="1" applyAlignment="1">
      <alignment horizontal="right" vertical="top" wrapText="1"/>
    </xf>
    <xf numFmtId="0" fontId="4" fillId="11" borderId="2" xfId="0" applyFont="1" applyFill="1" applyBorder="1" applyAlignment="1">
      <alignment vertical="top" wrapText="1"/>
    </xf>
    <xf numFmtId="0" fontId="4" fillId="11" borderId="2" xfId="0" applyFont="1" applyFill="1" applyBorder="1" applyAlignment="1">
      <alignment horizontal="left" vertical="top" wrapText="1"/>
    </xf>
    <xf numFmtId="0" fontId="2" fillId="0" borderId="0" xfId="0" applyFont="1" applyAlignment="1">
      <alignment vertical="center"/>
    </xf>
    <xf numFmtId="0" fontId="2" fillId="0" borderId="0" xfId="0" applyFont="1"/>
    <xf numFmtId="0" fontId="5"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applyAlignment="1">
      <alignment wrapText="1"/>
    </xf>
    <xf numFmtId="0" fontId="1" fillId="2" borderId="1" xfId="0" applyFont="1" applyFill="1" applyBorder="1" applyAlignment="1">
      <alignment horizontal="left" vertical="center"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1" fillId="2" borderId="2" xfId="0" applyFont="1" applyFill="1" applyBorder="1" applyAlignment="1">
      <alignment vertical="center"/>
    </xf>
    <xf numFmtId="0" fontId="2" fillId="0" borderId="1" xfId="0" applyFont="1" applyBorder="1" applyAlignment="1">
      <alignment horizontal="left" vertical="top" wrapText="1"/>
    </xf>
    <xf numFmtId="0" fontId="5" fillId="0" borderId="22" xfId="0" applyFont="1" applyBorder="1" applyAlignment="1">
      <alignment horizontal="left" vertical="top" wrapText="1"/>
    </xf>
    <xf numFmtId="0" fontId="4" fillId="0" borderId="15" xfId="0" applyFont="1" applyBorder="1" applyAlignment="1">
      <alignment vertical="top" wrapText="1"/>
    </xf>
    <xf numFmtId="0" fontId="4"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0" borderId="8" xfId="0" applyFont="1" applyBorder="1" applyAlignment="1">
      <alignment horizontal="left" vertical="top" wrapText="1"/>
    </xf>
    <xf numFmtId="0" fontId="4" fillId="0" borderId="17" xfId="0" applyFont="1" applyBorder="1" applyAlignment="1">
      <alignment horizontal="left" vertical="top"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4" fillId="10" borderId="20" xfId="0" applyFont="1" applyFill="1" applyBorder="1"/>
    <xf numFmtId="0" fontId="4" fillId="10" borderId="16" xfId="0" applyFont="1" applyFill="1" applyBorder="1" applyAlignment="1">
      <alignment wrapText="1"/>
    </xf>
    <xf numFmtId="0" fontId="4" fillId="10" borderId="20" xfId="0" applyFont="1" applyFill="1" applyBorder="1" applyAlignment="1">
      <alignment wrapText="1"/>
    </xf>
    <xf numFmtId="0" fontId="4" fillId="10" borderId="21" xfId="0" applyFont="1" applyFill="1" applyBorder="1" applyAlignment="1">
      <alignment wrapText="1"/>
    </xf>
    <xf numFmtId="0" fontId="1" fillId="2" borderId="8" xfId="0" applyFont="1" applyFill="1" applyBorder="1"/>
    <xf numFmtId="0" fontId="1" fillId="2" borderId="19" xfId="0" applyFont="1" applyFill="1" applyBorder="1" applyAlignment="1">
      <alignment wrapText="1"/>
    </xf>
    <xf numFmtId="0" fontId="9" fillId="2" borderId="1" xfId="0" applyFont="1" applyFill="1" applyBorder="1" applyAlignment="1">
      <alignment horizontal="left" vertical="center" wrapText="1"/>
    </xf>
    <xf numFmtId="0" fontId="2" fillId="0" borderId="18" xfId="0" applyFont="1" applyBorder="1"/>
    <xf numFmtId="0" fontId="11" fillId="3" borderId="9" xfId="0" applyFont="1" applyFill="1" applyBorder="1" applyAlignment="1">
      <alignment horizontal="left" vertical="top"/>
    </xf>
    <xf numFmtId="0" fontId="4" fillId="4" borderId="14" xfId="0" applyFont="1" applyFill="1" applyBorder="1" applyAlignment="1">
      <alignment vertical="top" wrapText="1"/>
    </xf>
    <xf numFmtId="0" fontId="11" fillId="3" borderId="9" xfId="0" applyFont="1" applyFill="1" applyBorder="1" applyAlignment="1">
      <alignment horizontal="left" vertical="top" wrapText="1"/>
    </xf>
    <xf numFmtId="0" fontId="11" fillId="3" borderId="10" xfId="0" applyFont="1" applyFill="1" applyBorder="1" applyAlignment="1">
      <alignment horizontal="left" vertical="top" wrapText="1"/>
    </xf>
    <xf numFmtId="0" fontId="2" fillId="0" borderId="0" xfId="0" applyFont="1" applyAlignment="1">
      <alignment vertical="top" wrapText="1"/>
    </xf>
    <xf numFmtId="0" fontId="4" fillId="0" borderId="20" xfId="0" applyFont="1" applyBorder="1" applyAlignment="1">
      <alignment horizontal="left" vertical="top" wrapText="1"/>
    </xf>
    <xf numFmtId="0" fontId="4" fillId="0" borderId="7" xfId="0" applyFont="1" applyBorder="1" applyAlignment="1">
      <alignment horizontal="left" vertical="top" wrapText="1"/>
    </xf>
    <xf numFmtId="0" fontId="4" fillId="0" borderId="16" xfId="0" applyFont="1" applyBorder="1" applyAlignment="1">
      <alignment horizontal="left" vertical="top" wrapText="1"/>
    </xf>
    <xf numFmtId="0" fontId="1" fillId="5" borderId="3" xfId="0" applyFont="1" applyFill="1" applyBorder="1" applyAlignment="1">
      <alignment horizontal="right" vertical="top" wrapText="1"/>
    </xf>
    <xf numFmtId="0" fontId="2" fillId="0" borderId="24" xfId="0" applyFont="1" applyBorder="1"/>
    <xf numFmtId="0" fontId="2" fillId="0" borderId="1" xfId="0" applyFont="1" applyBorder="1"/>
    <xf numFmtId="0" fontId="1" fillId="5" borderId="1" xfId="0" applyFont="1" applyFill="1" applyBorder="1" applyAlignment="1">
      <alignment vertical="top" wrapText="1"/>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4" fillId="4" borderId="14" xfId="0" applyFont="1" applyFill="1" applyBorder="1" applyAlignment="1">
      <alignment horizontal="left" vertical="top" wrapText="1"/>
    </xf>
    <xf numFmtId="0" fontId="4" fillId="4" borderId="15" xfId="0" applyFont="1" applyFill="1" applyBorder="1" applyAlignment="1">
      <alignment horizontal="left" vertical="top" wrapText="1"/>
    </xf>
    <xf numFmtId="0" fontId="8" fillId="0" borderId="2" xfId="0" applyFont="1" applyBorder="1" applyAlignment="1">
      <alignment horizontal="center" vertical="center" textRotation="90"/>
    </xf>
    <xf numFmtId="0" fontId="8" fillId="0" borderId="5" xfId="0" applyFont="1" applyBorder="1" applyAlignment="1">
      <alignment horizontal="center" vertical="center" textRotation="90"/>
    </xf>
    <xf numFmtId="0" fontId="8" fillId="0" borderId="3" xfId="0" applyFont="1" applyBorder="1" applyAlignment="1">
      <alignment horizontal="center" vertical="center" textRotation="90"/>
    </xf>
    <xf numFmtId="0" fontId="8" fillId="0" borderId="1" xfId="0" applyFont="1" applyBorder="1" applyAlignment="1">
      <alignment horizontal="center" vertical="center" textRotation="90"/>
    </xf>
    <xf numFmtId="0" fontId="1" fillId="5" borderId="1" xfId="0" applyFont="1" applyFill="1" applyBorder="1" applyAlignment="1">
      <alignment horizontal="right" vertical="top" wrapText="1"/>
    </xf>
    <xf numFmtId="0" fontId="1" fillId="9" borderId="1" xfId="0" applyFont="1" applyFill="1" applyBorder="1" applyAlignment="1">
      <alignment horizontal="right" vertical="top" wrapText="1"/>
    </xf>
    <xf numFmtId="0" fontId="1" fillId="5" borderId="2" xfId="0" applyFont="1" applyFill="1" applyBorder="1" applyAlignment="1">
      <alignment horizontal="right" vertical="top" wrapText="1"/>
    </xf>
    <xf numFmtId="0" fontId="1" fillId="5" borderId="3" xfId="0" applyFont="1" applyFill="1" applyBorder="1" applyAlignment="1">
      <alignment horizontal="right" vertical="top" wrapText="1"/>
    </xf>
    <xf numFmtId="0" fontId="7" fillId="8" borderId="0" xfId="0" applyFont="1" applyFill="1" applyAlignment="1">
      <alignment horizontal="left" vertical="top"/>
    </xf>
    <xf numFmtId="0" fontId="4" fillId="0" borderId="13" xfId="0" applyFont="1" applyBorder="1" applyAlignment="1">
      <alignment horizontal="left" vertical="top" wrapText="1"/>
    </xf>
    <xf numFmtId="0" fontId="4" fillId="0" borderId="15" xfId="0" applyFont="1" applyBorder="1" applyAlignment="1">
      <alignment horizontal="left" vertical="top" wrapText="1"/>
    </xf>
    <xf numFmtId="0" fontId="4" fillId="0" borderId="2" xfId="0" applyFont="1" applyBorder="1" applyAlignment="1">
      <alignment horizontal="right" vertical="top"/>
    </xf>
    <xf numFmtId="0" fontId="4" fillId="0" borderId="3" xfId="0" applyFont="1" applyBorder="1" applyAlignment="1">
      <alignment horizontal="right" vertical="top"/>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xf>
    <xf numFmtId="0" fontId="1" fillId="6" borderId="4" xfId="0" applyFont="1" applyFill="1" applyBorder="1" applyAlignment="1">
      <alignment horizontal="right" vertical="top" wrapText="1"/>
    </xf>
    <xf numFmtId="0" fontId="1" fillId="6" borderId="11" xfId="0" applyFont="1" applyFill="1" applyBorder="1" applyAlignment="1">
      <alignment horizontal="right" vertical="top" wrapText="1"/>
    </xf>
    <xf numFmtId="0" fontId="1" fillId="9" borderId="12" xfId="0" applyFont="1" applyFill="1" applyBorder="1" applyAlignment="1">
      <alignment horizontal="right" vertical="top" wrapText="1"/>
    </xf>
    <xf numFmtId="0" fontId="1" fillId="9" borderId="10" xfId="0" applyFont="1" applyFill="1" applyBorder="1" applyAlignment="1">
      <alignment horizontal="righ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5" borderId="5" xfId="0" applyFont="1" applyFill="1" applyBorder="1" applyAlignment="1">
      <alignment horizontal="right" vertical="top" wrapText="1"/>
    </xf>
    <xf numFmtId="0" fontId="1" fillId="9" borderId="2" xfId="0" applyFont="1" applyFill="1" applyBorder="1" applyAlignment="1">
      <alignment horizontal="right" vertical="top" wrapText="1"/>
    </xf>
    <xf numFmtId="0" fontId="1" fillId="9" borderId="5" xfId="0" applyFont="1" applyFill="1" applyBorder="1" applyAlignment="1">
      <alignment horizontal="right" vertical="top" wrapText="1"/>
    </xf>
    <xf numFmtId="0" fontId="1" fillId="9" borderId="3" xfId="0" applyFont="1" applyFill="1" applyBorder="1" applyAlignment="1">
      <alignment horizontal="right" vertical="top" wrapText="1"/>
    </xf>
    <xf numFmtId="0" fontId="4" fillId="0" borderId="2" xfId="0" applyFont="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1" xfId="0" applyFont="1" applyBorder="1" applyAlignment="1">
      <alignment horizontal="left" vertical="top" wrapText="1"/>
    </xf>
    <xf numFmtId="0" fontId="2" fillId="0" borderId="5" xfId="0" applyFont="1" applyBorder="1" applyAlignment="1">
      <alignment horizontal="left" vertical="top" wrapText="1"/>
    </xf>
    <xf numFmtId="0" fontId="5" fillId="0" borderId="2" xfId="0" applyFont="1" applyBorder="1" applyAlignment="1">
      <alignment horizontal="left" vertical="top" wrapText="1"/>
    </xf>
    <xf numFmtId="0" fontId="5" fillId="0" borderId="5" xfId="0" applyFont="1" applyBorder="1" applyAlignment="1">
      <alignment horizontal="left" vertical="top" wrapText="1"/>
    </xf>
    <xf numFmtId="0" fontId="5" fillId="0" borderId="3" xfId="0" applyFont="1" applyBorder="1" applyAlignment="1">
      <alignment horizontal="left" vertical="top" wrapText="1"/>
    </xf>
    <xf numFmtId="0" fontId="4" fillId="0" borderId="1" xfId="0" applyFont="1" applyBorder="1" applyAlignment="1">
      <alignment horizontal="left" vertical="top"/>
    </xf>
    <xf numFmtId="0" fontId="4" fillId="0" borderId="2" xfId="0" applyFont="1" applyBorder="1" applyAlignment="1">
      <alignment vertical="top"/>
    </xf>
    <xf numFmtId="0" fontId="4" fillId="0" borderId="3" xfId="0" applyFont="1" applyBorder="1" applyAlignment="1">
      <alignment vertical="top"/>
    </xf>
    <xf numFmtId="0" fontId="4" fillId="0" borderId="6" xfId="0" applyFont="1" applyBorder="1" applyAlignment="1">
      <alignment horizontal="left" vertical="top" wrapText="1"/>
    </xf>
    <xf numFmtId="0" fontId="4" fillId="0" borderId="17" xfId="0" applyFont="1" applyBorder="1" applyAlignment="1">
      <alignment horizontal="left" vertical="top" wrapText="1"/>
    </xf>
    <xf numFmtId="0" fontId="2" fillId="0" borderId="2" xfId="0" applyFont="1" applyBorder="1" applyAlignment="1">
      <alignment horizontal="left" vertical="top"/>
    </xf>
    <xf numFmtId="0" fontId="2" fillId="0" borderId="5" xfId="0" applyFont="1" applyBorder="1" applyAlignment="1">
      <alignment horizontal="left" vertical="top"/>
    </xf>
    <xf numFmtId="0" fontId="2" fillId="0" borderId="3" xfId="0" applyFont="1" applyBorder="1" applyAlignment="1">
      <alignment horizontal="left" vertical="top"/>
    </xf>
    <xf numFmtId="0" fontId="4" fillId="0" borderId="23" xfId="0" applyFont="1" applyBorder="1" applyAlignment="1">
      <alignment horizontal="left" vertical="top"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4" xfId="0" applyFont="1" applyBorder="1" applyAlignment="1">
      <alignment horizontal="left" vertical="center"/>
    </xf>
    <xf numFmtId="0" fontId="2" fillId="0" borderId="25" xfId="0" applyFont="1" applyBorder="1" applyAlignment="1">
      <alignment horizontal="left" vertical="center"/>
    </xf>
    <xf numFmtId="0" fontId="4" fillId="0" borderId="7" xfId="0" applyFont="1" applyBorder="1"/>
    <xf numFmtId="0" fontId="4" fillId="0" borderId="20" xfId="0" applyFont="1" applyBorder="1"/>
    <xf numFmtId="0" fontId="4" fillId="10" borderId="7" xfId="0" applyFont="1" applyFill="1" applyBorder="1" applyAlignment="1">
      <alignment wrapText="1"/>
    </xf>
    <xf numFmtId="0" fontId="4" fillId="10" borderId="20"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F6" sqref="F6"/>
    </sheetView>
  </sheetViews>
  <sheetFormatPr defaultColWidth="9.1796875" defaultRowHeight="14" x14ac:dyDescent="0.35"/>
  <cols>
    <col min="1" max="1" width="40.54296875" style="20" customWidth="1"/>
    <col min="2" max="2" width="48.54296875" style="60" customWidth="1"/>
    <col min="3" max="16384" width="9.1796875" style="20"/>
  </cols>
  <sheetData>
    <row r="1" spans="1:2" s="27" customFormat="1" ht="30" customHeight="1" x14ac:dyDescent="0.35">
      <c r="A1" s="68" t="s">
        <v>0</v>
      </c>
      <c r="B1" s="69"/>
    </row>
    <row r="2" spans="1:2" x14ac:dyDescent="0.35">
      <c r="A2" s="56" t="s">
        <v>1</v>
      </c>
      <c r="B2" s="57" t="s">
        <v>2</v>
      </c>
    </row>
    <row r="3" spans="1:2" x14ac:dyDescent="0.35">
      <c r="A3" s="56"/>
      <c r="B3" s="57"/>
    </row>
    <row r="4" spans="1:2" x14ac:dyDescent="0.35">
      <c r="A4" s="56" t="s">
        <v>3</v>
      </c>
      <c r="B4" s="57" t="s">
        <v>4</v>
      </c>
    </row>
    <row r="5" spans="1:2" x14ac:dyDescent="0.35">
      <c r="A5" s="56"/>
      <c r="B5" s="57"/>
    </row>
    <row r="6" spans="1:2" ht="42" x14ac:dyDescent="0.35">
      <c r="A6" s="56" t="s">
        <v>5</v>
      </c>
      <c r="B6" s="57" t="s">
        <v>6</v>
      </c>
    </row>
    <row r="7" spans="1:2" x14ac:dyDescent="0.35">
      <c r="A7" s="56"/>
      <c r="B7" s="57"/>
    </row>
    <row r="8" spans="1:2" x14ac:dyDescent="0.35">
      <c r="A8" s="58" t="s">
        <v>7</v>
      </c>
      <c r="B8" s="70" t="s">
        <v>8</v>
      </c>
    </row>
    <row r="9" spans="1:2" x14ac:dyDescent="0.35">
      <c r="A9" s="58"/>
      <c r="B9" s="70"/>
    </row>
    <row r="10" spans="1:2" x14ac:dyDescent="0.35">
      <c r="A10" s="58" t="s">
        <v>9</v>
      </c>
      <c r="B10" s="70" t="s">
        <v>10</v>
      </c>
    </row>
    <row r="11" spans="1:2" ht="34" customHeight="1" x14ac:dyDescent="0.35">
      <c r="A11" s="59"/>
      <c r="B11" s="71"/>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J35"/>
  <sheetViews>
    <sheetView showGridLines="0" zoomScale="85" zoomScaleNormal="85" workbookViewId="0">
      <pane ySplit="1" topLeftCell="A2" activePane="bottomLeft" state="frozen"/>
      <selection activeCell="B1" sqref="B1"/>
      <selection pane="bottomLeft" activeCell="B8" sqref="B8:B14"/>
    </sheetView>
  </sheetViews>
  <sheetFormatPr defaultColWidth="9.1796875" defaultRowHeight="14" x14ac:dyDescent="0.35"/>
  <cols>
    <col min="1" max="1" width="9" style="3" bestFit="1" customWidth="1"/>
    <col min="2" max="2" width="19.7265625" style="3" bestFit="1" customWidth="1"/>
    <col min="3" max="3" width="23.453125" style="3" customWidth="1"/>
    <col min="4" max="4" width="50.54296875" style="3" customWidth="1"/>
    <col min="5" max="5" width="23.81640625" style="3" customWidth="1"/>
    <col min="6" max="6" width="15.453125" style="16" bestFit="1" customWidth="1"/>
    <col min="7" max="7" width="14.26953125" style="3" customWidth="1"/>
    <col min="8" max="8" width="13.7265625" style="3" customWidth="1"/>
    <col min="9" max="9" width="16.1796875" style="3" customWidth="1"/>
    <col min="10" max="10" width="15.1796875" style="3" customWidth="1"/>
    <col min="11" max="16384" width="9.1796875" style="3"/>
  </cols>
  <sheetData>
    <row r="1" spans="1:10" ht="42" x14ac:dyDescent="0.35">
      <c r="A1" s="1" t="s">
        <v>11</v>
      </c>
      <c r="B1" s="1" t="s">
        <v>12</v>
      </c>
      <c r="C1" s="1" t="s">
        <v>13</v>
      </c>
      <c r="D1" s="1" t="s">
        <v>14</v>
      </c>
      <c r="E1" s="1" t="s">
        <v>15</v>
      </c>
      <c r="F1" s="2" t="s">
        <v>16</v>
      </c>
      <c r="G1" s="1" t="s">
        <v>17</v>
      </c>
      <c r="H1" s="1" t="s">
        <v>18</v>
      </c>
      <c r="I1" s="1" t="s">
        <v>19</v>
      </c>
      <c r="J1" s="1" t="s">
        <v>20</v>
      </c>
    </row>
    <row r="2" spans="1:10" ht="28.5" customHeight="1" x14ac:dyDescent="0.35">
      <c r="A2" s="75" t="s">
        <v>21</v>
      </c>
      <c r="B2" s="72" t="s">
        <v>22</v>
      </c>
      <c r="C2" s="4" t="s">
        <v>23</v>
      </c>
      <c r="D2" s="4" t="s">
        <v>24</v>
      </c>
      <c r="E2" s="4" t="s">
        <v>25</v>
      </c>
      <c r="F2" s="5">
        <v>9</v>
      </c>
      <c r="G2" s="4" t="s">
        <v>26</v>
      </c>
      <c r="H2" s="6"/>
      <c r="I2" s="78">
        <f>SUM(F2:F7)</f>
        <v>86</v>
      </c>
      <c r="J2" s="97">
        <f>ROUND(I2/45,2)</f>
        <v>1.91</v>
      </c>
    </row>
    <row r="3" spans="1:10" x14ac:dyDescent="0.35">
      <c r="A3" s="75"/>
      <c r="B3" s="73"/>
      <c r="C3" s="6" t="s">
        <v>27</v>
      </c>
      <c r="D3" s="6" t="s">
        <v>28</v>
      </c>
      <c r="E3" s="4" t="s">
        <v>25</v>
      </c>
      <c r="F3" s="5">
        <v>9</v>
      </c>
      <c r="G3" s="4" t="s">
        <v>29</v>
      </c>
      <c r="H3" s="6"/>
      <c r="I3" s="96"/>
      <c r="J3" s="98"/>
    </row>
    <row r="4" spans="1:10" ht="28" x14ac:dyDescent="0.35">
      <c r="A4" s="75"/>
      <c r="B4" s="74"/>
      <c r="C4" s="6" t="s">
        <v>30</v>
      </c>
      <c r="D4" s="6" t="s">
        <v>31</v>
      </c>
      <c r="E4" s="4" t="s">
        <v>25</v>
      </c>
      <c r="F4" s="5">
        <v>9</v>
      </c>
      <c r="G4" s="4" t="s">
        <v>26</v>
      </c>
      <c r="H4" s="6"/>
      <c r="I4" s="96"/>
      <c r="J4" s="98"/>
    </row>
    <row r="5" spans="1:10" x14ac:dyDescent="0.35">
      <c r="A5" s="75"/>
      <c r="B5" s="72" t="s">
        <v>32</v>
      </c>
      <c r="C5" s="6" t="s">
        <v>33</v>
      </c>
      <c r="D5" s="6" t="s">
        <v>34</v>
      </c>
      <c r="E5" s="4" t="s">
        <v>25</v>
      </c>
      <c r="F5" s="5">
        <v>36</v>
      </c>
      <c r="G5" s="4" t="s">
        <v>29</v>
      </c>
      <c r="H5" s="6"/>
      <c r="I5" s="96"/>
      <c r="J5" s="98"/>
    </row>
    <row r="6" spans="1:10" ht="28" x14ac:dyDescent="0.35">
      <c r="A6" s="75"/>
      <c r="B6" s="73"/>
      <c r="C6" s="6" t="s">
        <v>35</v>
      </c>
      <c r="D6" s="6" t="s">
        <v>36</v>
      </c>
      <c r="E6" s="4" t="s">
        <v>25</v>
      </c>
      <c r="F6" s="5">
        <v>18</v>
      </c>
      <c r="G6" s="4" t="s">
        <v>29</v>
      </c>
      <c r="H6" s="4"/>
      <c r="I6" s="96"/>
      <c r="J6" s="98"/>
    </row>
    <row r="7" spans="1:10" x14ac:dyDescent="0.35">
      <c r="A7" s="75"/>
      <c r="B7" s="74"/>
      <c r="C7" s="23" t="s">
        <v>37</v>
      </c>
      <c r="D7" s="23" t="s">
        <v>38</v>
      </c>
      <c r="E7" s="23" t="s">
        <v>39</v>
      </c>
      <c r="F7" s="24">
        <v>5</v>
      </c>
      <c r="G7" s="4" t="s">
        <v>26</v>
      </c>
      <c r="H7" s="4"/>
      <c r="I7" s="79"/>
      <c r="J7" s="98"/>
    </row>
    <row r="8" spans="1:10" ht="28" x14ac:dyDescent="0.35">
      <c r="A8" s="72" t="s">
        <v>40</v>
      </c>
      <c r="B8" s="75" t="s">
        <v>41</v>
      </c>
      <c r="C8" s="6" t="s">
        <v>42</v>
      </c>
      <c r="D8" s="6" t="s">
        <v>43</v>
      </c>
      <c r="E8" s="4" t="s">
        <v>25</v>
      </c>
      <c r="F8" s="5">
        <v>27</v>
      </c>
      <c r="G8" s="4" t="s">
        <v>29</v>
      </c>
      <c r="H8" s="4"/>
      <c r="I8" s="78">
        <f>SUM(F8:F14)</f>
        <v>132</v>
      </c>
      <c r="J8" s="77">
        <f>ROUND(I8/45,2)</f>
        <v>2.93</v>
      </c>
    </row>
    <row r="9" spans="1:10" ht="28" x14ac:dyDescent="0.35">
      <c r="A9" s="73"/>
      <c r="B9" s="75"/>
      <c r="C9" s="6" t="s">
        <v>44</v>
      </c>
      <c r="D9" s="6" t="s">
        <v>45</v>
      </c>
      <c r="E9" s="4" t="s">
        <v>25</v>
      </c>
      <c r="F9" s="5">
        <v>18</v>
      </c>
      <c r="G9" s="4" t="s">
        <v>29</v>
      </c>
      <c r="H9" s="4"/>
      <c r="I9" s="96"/>
      <c r="J9" s="77"/>
    </row>
    <row r="10" spans="1:10" ht="28" x14ac:dyDescent="0.35">
      <c r="A10" s="73"/>
      <c r="B10" s="75"/>
      <c r="C10" s="6" t="s">
        <v>46</v>
      </c>
      <c r="D10" s="4" t="s">
        <v>47</v>
      </c>
      <c r="E10" s="4" t="s">
        <v>25</v>
      </c>
      <c r="F10" s="5">
        <v>9</v>
      </c>
      <c r="G10" s="4" t="s">
        <v>29</v>
      </c>
      <c r="H10" s="4"/>
      <c r="I10" s="96"/>
      <c r="J10" s="77"/>
    </row>
    <row r="11" spans="1:10" x14ac:dyDescent="0.35">
      <c r="A11" s="73"/>
      <c r="B11" s="75"/>
      <c r="C11" s="6" t="s">
        <v>48</v>
      </c>
      <c r="D11" s="6" t="s">
        <v>49</v>
      </c>
      <c r="E11" s="4" t="s">
        <v>25</v>
      </c>
      <c r="F11" s="5">
        <v>36</v>
      </c>
      <c r="G11" s="4" t="s">
        <v>29</v>
      </c>
      <c r="H11" s="4"/>
      <c r="I11" s="96"/>
      <c r="J11" s="77"/>
    </row>
    <row r="12" spans="1:10" ht="28" x14ac:dyDescent="0.35">
      <c r="A12" s="73"/>
      <c r="B12" s="75"/>
      <c r="C12" s="6" t="s">
        <v>50</v>
      </c>
      <c r="D12" s="6" t="s">
        <v>51</v>
      </c>
      <c r="E12" s="4" t="s">
        <v>25</v>
      </c>
      <c r="F12" s="5">
        <v>36</v>
      </c>
      <c r="G12" s="4" t="s">
        <v>29</v>
      </c>
      <c r="H12" s="10"/>
      <c r="I12" s="96"/>
      <c r="J12" s="77"/>
    </row>
    <row r="13" spans="1:10" ht="28" x14ac:dyDescent="0.35">
      <c r="A13" s="73"/>
      <c r="B13" s="75"/>
      <c r="C13" s="4" t="s">
        <v>52</v>
      </c>
      <c r="D13" s="4" t="s">
        <v>53</v>
      </c>
      <c r="E13" s="4" t="s">
        <v>54</v>
      </c>
      <c r="F13" s="5">
        <v>5</v>
      </c>
      <c r="G13" s="4" t="s">
        <v>29</v>
      </c>
      <c r="H13" s="10"/>
      <c r="I13" s="96"/>
      <c r="J13" s="77"/>
    </row>
    <row r="14" spans="1:10" ht="28" x14ac:dyDescent="0.35">
      <c r="A14" s="73"/>
      <c r="B14" s="75"/>
      <c r="C14" s="23" t="s">
        <v>55</v>
      </c>
      <c r="D14" s="23" t="s">
        <v>56</v>
      </c>
      <c r="E14" s="23" t="s">
        <v>39</v>
      </c>
      <c r="F14" s="24">
        <v>1</v>
      </c>
      <c r="G14" s="6" t="s">
        <v>26</v>
      </c>
      <c r="H14" s="10"/>
      <c r="I14" s="79"/>
      <c r="J14" s="77"/>
    </row>
    <row r="15" spans="1:10" x14ac:dyDescent="0.35">
      <c r="A15" s="73"/>
      <c r="B15" s="75" t="s">
        <v>57</v>
      </c>
      <c r="C15" s="6" t="s">
        <v>58</v>
      </c>
      <c r="D15" s="6" t="s">
        <v>59</v>
      </c>
      <c r="E15" s="4" t="s">
        <v>25</v>
      </c>
      <c r="F15" s="5">
        <v>36</v>
      </c>
      <c r="G15" s="4" t="s">
        <v>29</v>
      </c>
      <c r="H15" s="4"/>
      <c r="I15" s="78">
        <f>SUM(F15:F18)</f>
        <v>90</v>
      </c>
      <c r="J15" s="97">
        <f>ROUND(I15/45,2)</f>
        <v>2</v>
      </c>
    </row>
    <row r="16" spans="1:10" x14ac:dyDescent="0.35">
      <c r="A16" s="73"/>
      <c r="B16" s="75"/>
      <c r="C16" s="6" t="s">
        <v>60</v>
      </c>
      <c r="D16" s="6" t="s">
        <v>61</v>
      </c>
      <c r="E16" s="4" t="s">
        <v>25</v>
      </c>
      <c r="F16" s="5">
        <v>18</v>
      </c>
      <c r="G16" s="4" t="s">
        <v>29</v>
      </c>
      <c r="H16" s="4"/>
      <c r="I16" s="96"/>
      <c r="J16" s="98"/>
    </row>
    <row r="17" spans="1:10" ht="28" x14ac:dyDescent="0.35">
      <c r="A17" s="73"/>
      <c r="B17" s="75"/>
      <c r="C17" s="25" t="s">
        <v>62</v>
      </c>
      <c r="D17" s="26" t="s">
        <v>63</v>
      </c>
      <c r="E17" s="23" t="s">
        <v>25</v>
      </c>
      <c r="F17" s="24">
        <v>18</v>
      </c>
      <c r="G17" s="6" t="s">
        <v>29</v>
      </c>
      <c r="H17" s="4"/>
      <c r="I17" s="96"/>
      <c r="J17" s="98"/>
    </row>
    <row r="18" spans="1:10" x14ac:dyDescent="0.35">
      <c r="A18" s="74"/>
      <c r="B18" s="75"/>
      <c r="C18" s="1" t="s">
        <v>64</v>
      </c>
      <c r="D18" s="1" t="s">
        <v>65</v>
      </c>
      <c r="E18" s="1" t="s">
        <v>66</v>
      </c>
      <c r="F18" s="2">
        <v>18</v>
      </c>
      <c r="G18" s="1"/>
      <c r="H18" s="1" t="s">
        <v>29</v>
      </c>
      <c r="I18" s="79"/>
      <c r="J18" s="99"/>
    </row>
    <row r="19" spans="1:10" ht="28" customHeight="1" x14ac:dyDescent="0.35">
      <c r="A19" s="72" t="s">
        <v>67</v>
      </c>
      <c r="B19" s="72" t="s">
        <v>68</v>
      </c>
      <c r="C19" s="11" t="s">
        <v>69</v>
      </c>
      <c r="D19" s="4" t="s">
        <v>70</v>
      </c>
      <c r="E19" s="4" t="s">
        <v>25</v>
      </c>
      <c r="F19" s="5">
        <v>9</v>
      </c>
      <c r="G19" s="4" t="s">
        <v>29</v>
      </c>
      <c r="H19" s="4"/>
      <c r="I19" s="76">
        <f>SUM(F19:F26)</f>
        <v>145</v>
      </c>
      <c r="J19" s="77">
        <f>ROUND(I19/45,2)</f>
        <v>3.22</v>
      </c>
    </row>
    <row r="20" spans="1:10" x14ac:dyDescent="0.35">
      <c r="A20" s="73"/>
      <c r="B20" s="73"/>
      <c r="C20" s="11" t="s">
        <v>71</v>
      </c>
      <c r="D20" s="4" t="s">
        <v>72</v>
      </c>
      <c r="E20" s="4" t="s">
        <v>25</v>
      </c>
      <c r="F20" s="22">
        <v>9</v>
      </c>
      <c r="G20" s="4" t="s">
        <v>29</v>
      </c>
      <c r="H20" s="4"/>
      <c r="I20" s="76"/>
      <c r="J20" s="77"/>
    </row>
    <row r="21" spans="1:10" x14ac:dyDescent="0.35">
      <c r="A21" s="73"/>
      <c r="B21" s="73"/>
      <c r="C21" s="11" t="s">
        <v>73</v>
      </c>
      <c r="D21" s="4" t="s">
        <v>74</v>
      </c>
      <c r="E21" s="4" t="s">
        <v>25</v>
      </c>
      <c r="F21" s="22">
        <v>9</v>
      </c>
      <c r="G21" s="4" t="s">
        <v>29</v>
      </c>
      <c r="H21" s="4"/>
      <c r="I21" s="76"/>
      <c r="J21" s="77"/>
    </row>
    <row r="22" spans="1:10" x14ac:dyDescent="0.35">
      <c r="A22" s="73"/>
      <c r="B22" s="73"/>
      <c r="C22" s="6" t="s">
        <v>75</v>
      </c>
      <c r="D22" s="6" t="s">
        <v>76</v>
      </c>
      <c r="E22" s="4" t="s">
        <v>25</v>
      </c>
      <c r="F22" s="5">
        <v>72</v>
      </c>
      <c r="G22" s="4" t="s">
        <v>29</v>
      </c>
      <c r="H22" s="4"/>
      <c r="I22" s="76"/>
      <c r="J22" s="77"/>
    </row>
    <row r="23" spans="1:10" ht="28" x14ac:dyDescent="0.35">
      <c r="A23" s="73"/>
      <c r="B23" s="73"/>
      <c r="C23" s="4" t="s">
        <v>52</v>
      </c>
      <c r="D23" s="4" t="s">
        <v>77</v>
      </c>
      <c r="E23" s="4" t="s">
        <v>54</v>
      </c>
      <c r="F23" s="5">
        <v>5</v>
      </c>
      <c r="G23" s="4" t="s">
        <v>29</v>
      </c>
      <c r="H23" s="4"/>
      <c r="I23" s="76"/>
      <c r="J23" s="77"/>
    </row>
    <row r="24" spans="1:10" ht="14.5" customHeight="1" x14ac:dyDescent="0.35">
      <c r="A24" s="73"/>
      <c r="B24" s="73"/>
      <c r="C24" s="94" t="s">
        <v>78</v>
      </c>
      <c r="D24" s="4" t="s">
        <v>79</v>
      </c>
      <c r="E24" s="4" t="s">
        <v>25</v>
      </c>
      <c r="F24" s="5">
        <v>5</v>
      </c>
      <c r="G24" s="4" t="s">
        <v>26</v>
      </c>
      <c r="H24" s="4"/>
      <c r="I24" s="76"/>
      <c r="J24" s="77"/>
    </row>
    <row r="25" spans="1:10" x14ac:dyDescent="0.35">
      <c r="A25" s="73"/>
      <c r="B25" s="73"/>
      <c r="C25" s="95"/>
      <c r="D25" s="19" t="s">
        <v>80</v>
      </c>
      <c r="E25" s="19" t="s">
        <v>25</v>
      </c>
      <c r="F25" s="20">
        <v>9</v>
      </c>
      <c r="G25" s="4" t="s">
        <v>29</v>
      </c>
      <c r="H25" s="4"/>
      <c r="I25" s="76"/>
      <c r="J25" s="77"/>
    </row>
    <row r="26" spans="1:10" x14ac:dyDescent="0.35">
      <c r="A26" s="73"/>
      <c r="B26" s="73"/>
      <c r="C26" s="6" t="s">
        <v>81</v>
      </c>
      <c r="D26" s="6" t="s">
        <v>82</v>
      </c>
      <c r="E26" s="4" t="s">
        <v>25</v>
      </c>
      <c r="F26" s="5">
        <v>27</v>
      </c>
      <c r="G26" s="4" t="s">
        <v>29</v>
      </c>
      <c r="H26" s="4"/>
      <c r="I26" s="76"/>
      <c r="J26" s="77"/>
    </row>
    <row r="27" spans="1:10" x14ac:dyDescent="0.35">
      <c r="A27" s="74"/>
      <c r="B27" s="74"/>
      <c r="C27" s="1" t="s">
        <v>64</v>
      </c>
      <c r="D27" s="1" t="s">
        <v>83</v>
      </c>
      <c r="E27" s="1" t="s">
        <v>84</v>
      </c>
      <c r="F27" s="2">
        <v>27</v>
      </c>
      <c r="G27" s="1"/>
      <c r="H27" s="1" t="s">
        <v>29</v>
      </c>
      <c r="I27" s="78">
        <f>SUM(F27:F28)</f>
        <v>36</v>
      </c>
      <c r="J27" s="92">
        <f>ROUND(I27/45,2)</f>
        <v>0.8</v>
      </c>
    </row>
    <row r="28" spans="1:10" x14ac:dyDescent="0.35">
      <c r="A28" s="72" t="s">
        <v>85</v>
      </c>
      <c r="B28" s="72" t="s">
        <v>86</v>
      </c>
      <c r="C28" s="1" t="s">
        <v>87</v>
      </c>
      <c r="D28" s="1" t="s">
        <v>88</v>
      </c>
      <c r="E28" s="1" t="s">
        <v>84</v>
      </c>
      <c r="F28" s="2">
        <v>9</v>
      </c>
      <c r="G28" s="1"/>
      <c r="H28" s="1" t="s">
        <v>29</v>
      </c>
      <c r="I28" s="79"/>
      <c r="J28" s="93"/>
    </row>
    <row r="29" spans="1:10" x14ac:dyDescent="0.35">
      <c r="A29" s="73"/>
      <c r="B29" s="73"/>
      <c r="C29" s="4" t="s">
        <v>89</v>
      </c>
      <c r="D29" s="4" t="s">
        <v>90</v>
      </c>
      <c r="E29" s="4" t="s">
        <v>25</v>
      </c>
      <c r="F29" s="5">
        <v>40</v>
      </c>
      <c r="G29" s="4" t="s">
        <v>29</v>
      </c>
      <c r="H29" s="4"/>
      <c r="I29" s="67">
        <f>F29</f>
        <v>40</v>
      </c>
      <c r="J29" s="9">
        <f>ROUND(I29/44,2)</f>
        <v>0.91</v>
      </c>
    </row>
    <row r="30" spans="1:10" x14ac:dyDescent="0.35">
      <c r="A30" s="73"/>
      <c r="B30" s="73"/>
      <c r="C30" s="4" t="s">
        <v>91</v>
      </c>
      <c r="D30" s="4" t="s">
        <v>92</v>
      </c>
      <c r="E30" s="4" t="s">
        <v>93</v>
      </c>
      <c r="F30" s="5">
        <v>12</v>
      </c>
      <c r="G30" s="4" t="s">
        <v>26</v>
      </c>
      <c r="H30" s="4"/>
      <c r="I30" s="67">
        <f>F30</f>
        <v>12</v>
      </c>
      <c r="J30" s="9">
        <f>ROUND(I30/45,2)</f>
        <v>0.27</v>
      </c>
    </row>
    <row r="31" spans="1:10" x14ac:dyDescent="0.35">
      <c r="A31" s="73"/>
      <c r="B31" s="73"/>
      <c r="C31" s="4" t="s">
        <v>94</v>
      </c>
      <c r="D31" s="4" t="s">
        <v>94</v>
      </c>
      <c r="E31" s="4" t="s">
        <v>93</v>
      </c>
      <c r="F31" s="5">
        <v>2</v>
      </c>
      <c r="G31" s="4"/>
      <c r="H31" s="4"/>
      <c r="I31" s="64">
        <f>F31</f>
        <v>2</v>
      </c>
      <c r="J31" s="9">
        <f>ROUND(I31/45,2)</f>
        <v>0.04</v>
      </c>
    </row>
    <row r="32" spans="1:10" x14ac:dyDescent="0.35">
      <c r="A32" s="73"/>
      <c r="B32" s="73"/>
      <c r="C32" s="90"/>
      <c r="D32" s="90"/>
      <c r="E32" s="90"/>
      <c r="F32" s="90"/>
      <c r="G32" s="90"/>
      <c r="H32" s="91"/>
      <c r="I32" s="14">
        <f>SUM(I2:I31)</f>
        <v>543</v>
      </c>
      <c r="J32" s="14">
        <f>SUM(J2:J31)</f>
        <v>12.08</v>
      </c>
    </row>
    <row r="33" spans="1:10" x14ac:dyDescent="0.35">
      <c r="A33" s="73"/>
      <c r="B33" s="73"/>
      <c r="C33" s="80"/>
      <c r="D33" s="80"/>
      <c r="E33" s="80"/>
      <c r="F33" s="80"/>
      <c r="G33" s="80"/>
      <c r="H33" s="80"/>
      <c r="I33" s="80"/>
      <c r="J33" s="80"/>
    </row>
    <row r="34" spans="1:10" x14ac:dyDescent="0.35">
      <c r="A34" s="73"/>
      <c r="B34" s="73"/>
      <c r="C34" s="81" t="s">
        <v>95</v>
      </c>
      <c r="D34" s="4" t="s">
        <v>96</v>
      </c>
      <c r="E34" s="15" t="s">
        <v>39</v>
      </c>
      <c r="F34" s="83"/>
      <c r="G34" s="85"/>
      <c r="H34" s="87"/>
      <c r="I34" s="89"/>
      <c r="J34" s="89"/>
    </row>
    <row r="35" spans="1:10" x14ac:dyDescent="0.35">
      <c r="A35" s="74"/>
      <c r="B35" s="74"/>
      <c r="C35" s="82"/>
      <c r="D35" s="4" t="s">
        <v>97</v>
      </c>
      <c r="E35" s="15" t="s">
        <v>39</v>
      </c>
      <c r="F35" s="84"/>
      <c r="G35" s="86"/>
      <c r="H35" s="88"/>
      <c r="I35" s="89"/>
      <c r="J35" s="89"/>
    </row>
  </sheetData>
  <mergeCells count="29">
    <mergeCell ref="I8:I14"/>
    <mergeCell ref="J8:J14"/>
    <mergeCell ref="I15:I18"/>
    <mergeCell ref="J15:J18"/>
    <mergeCell ref="I2:I7"/>
    <mergeCell ref="J2:J7"/>
    <mergeCell ref="I19:I26"/>
    <mergeCell ref="J19:J26"/>
    <mergeCell ref="I27:I28"/>
    <mergeCell ref="C33:J33"/>
    <mergeCell ref="C34:C35"/>
    <mergeCell ref="F34:F35"/>
    <mergeCell ref="G34:G35"/>
    <mergeCell ref="H34:H35"/>
    <mergeCell ref="I34:I35"/>
    <mergeCell ref="J34:J35"/>
    <mergeCell ref="C32:H32"/>
    <mergeCell ref="J27:J28"/>
    <mergeCell ref="C24:C25"/>
    <mergeCell ref="A28:A35"/>
    <mergeCell ref="B28:B35"/>
    <mergeCell ref="A2:A7"/>
    <mergeCell ref="A8:A18"/>
    <mergeCell ref="B19:B27"/>
    <mergeCell ref="A19:A27"/>
    <mergeCell ref="B8:B14"/>
    <mergeCell ref="B15:B18"/>
    <mergeCell ref="B2:B4"/>
    <mergeCell ref="B5:B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
  <sheetViews>
    <sheetView showGridLines="0" tabSelected="1" workbookViewId="0">
      <pane ySplit="1" topLeftCell="A2" activePane="bottomLeft" state="frozen"/>
      <selection pane="bottomLeft" activeCell="G2" sqref="G2"/>
    </sheetView>
  </sheetViews>
  <sheetFormatPr defaultColWidth="8.7265625" defaultRowHeight="14" x14ac:dyDescent="0.3"/>
  <cols>
    <col min="1" max="1" width="19.54296875" style="28" customWidth="1"/>
    <col min="2" max="2" width="28.54296875" style="28" customWidth="1"/>
    <col min="3" max="3" width="71.1796875" style="28" customWidth="1"/>
    <col min="4" max="16384" width="8.7265625" style="28"/>
  </cols>
  <sheetData>
    <row r="1" spans="1:3" x14ac:dyDescent="0.3">
      <c r="A1" s="46" t="s">
        <v>98</v>
      </c>
      <c r="B1" s="46" t="s">
        <v>99</v>
      </c>
      <c r="C1" s="47" t="s">
        <v>100</v>
      </c>
    </row>
    <row r="2" spans="1:3" ht="266" x14ac:dyDescent="0.3">
      <c r="A2" s="18" t="s">
        <v>101</v>
      </c>
      <c r="B2" s="6" t="s">
        <v>102</v>
      </c>
      <c r="C2" s="6" t="s">
        <v>103</v>
      </c>
    </row>
    <row r="3" spans="1:3" ht="280" x14ac:dyDescent="0.3">
      <c r="A3" s="18" t="s">
        <v>41</v>
      </c>
      <c r="B3" s="6" t="s">
        <v>102</v>
      </c>
      <c r="C3" s="6" t="s">
        <v>104</v>
      </c>
    </row>
    <row r="4" spans="1:3" ht="98" x14ac:dyDescent="0.3">
      <c r="A4" s="17" t="s">
        <v>57</v>
      </c>
      <c r="B4" s="4" t="s">
        <v>102</v>
      </c>
      <c r="C4" s="4" t="s">
        <v>105</v>
      </c>
    </row>
    <row r="5" spans="1:3" ht="280" x14ac:dyDescent="0.3">
      <c r="A5" s="17" t="s">
        <v>68</v>
      </c>
      <c r="B5" s="19" t="s">
        <v>102</v>
      </c>
      <c r="C5" s="31"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30"/>
  <sheetViews>
    <sheetView showGridLines="0" workbookViewId="0">
      <pane ySplit="1" topLeftCell="A2" activePane="bottomLeft" state="frozen"/>
      <selection pane="bottomLeft" activeCell="M32" sqref="M32"/>
    </sheetView>
  </sheetViews>
  <sheetFormatPr defaultColWidth="8.7265625" defaultRowHeight="14" x14ac:dyDescent="0.3"/>
  <cols>
    <col min="1" max="1" width="20.7265625" style="28" customWidth="1"/>
    <col min="2" max="2" width="30.7265625" style="32" customWidth="1"/>
    <col min="3" max="3" width="50.7265625" style="28" customWidth="1"/>
    <col min="4" max="16384" width="8.7265625" style="28"/>
  </cols>
  <sheetData>
    <row r="1" spans="1:3" s="27" customFormat="1" ht="20.149999999999999" customHeight="1" x14ac:dyDescent="0.35">
      <c r="A1" s="33" t="s">
        <v>14</v>
      </c>
      <c r="B1" s="33" t="s">
        <v>107</v>
      </c>
      <c r="C1" s="33" t="s">
        <v>108</v>
      </c>
    </row>
    <row r="2" spans="1:3" s="27" customFormat="1" ht="28" x14ac:dyDescent="0.35">
      <c r="A2" s="100" t="s">
        <v>24</v>
      </c>
      <c r="B2" s="8" t="s">
        <v>109</v>
      </c>
      <c r="C2" s="8" t="s">
        <v>110</v>
      </c>
    </row>
    <row r="3" spans="1:3" s="27" customFormat="1" ht="42" x14ac:dyDescent="0.35">
      <c r="A3" s="101"/>
      <c r="B3" s="8" t="s">
        <v>111</v>
      </c>
      <c r="C3" s="8" t="s">
        <v>112</v>
      </c>
    </row>
    <row r="4" spans="1:3" s="27" customFormat="1" ht="70" x14ac:dyDescent="0.35">
      <c r="A4" s="101"/>
      <c r="B4" s="8" t="s">
        <v>113</v>
      </c>
      <c r="C4" s="8" t="s">
        <v>114</v>
      </c>
    </row>
    <row r="5" spans="1:3" s="27" customFormat="1" ht="42" x14ac:dyDescent="0.35">
      <c r="A5" s="101"/>
      <c r="B5" s="8" t="s">
        <v>115</v>
      </c>
      <c r="C5" s="8" t="s">
        <v>116</v>
      </c>
    </row>
    <row r="6" spans="1:3" s="27" customFormat="1" ht="28" x14ac:dyDescent="0.35">
      <c r="A6" s="101"/>
      <c r="B6" s="8" t="s">
        <v>117</v>
      </c>
      <c r="C6" s="8" t="s">
        <v>118</v>
      </c>
    </row>
    <row r="7" spans="1:3" s="27" customFormat="1" ht="28" x14ac:dyDescent="0.35">
      <c r="A7" s="102"/>
      <c r="B7" s="8" t="s">
        <v>119</v>
      </c>
      <c r="C7" s="8" t="s">
        <v>120</v>
      </c>
    </row>
    <row r="8" spans="1:3" s="27" customFormat="1" ht="42" x14ac:dyDescent="0.35">
      <c r="A8" s="103" t="s">
        <v>28</v>
      </c>
      <c r="B8" s="4" t="s">
        <v>121</v>
      </c>
      <c r="C8" s="4" t="s">
        <v>122</v>
      </c>
    </row>
    <row r="9" spans="1:3" s="27" customFormat="1" ht="42" x14ac:dyDescent="0.35">
      <c r="A9" s="103"/>
      <c r="B9" s="4" t="s">
        <v>123</v>
      </c>
      <c r="C9" s="4" t="s">
        <v>124</v>
      </c>
    </row>
    <row r="10" spans="1:3" s="27" customFormat="1" ht="56" x14ac:dyDescent="0.35">
      <c r="A10" s="103"/>
      <c r="B10" s="4" t="s">
        <v>125</v>
      </c>
      <c r="C10" s="4" t="s">
        <v>126</v>
      </c>
    </row>
    <row r="11" spans="1:3" s="27" customFormat="1" ht="84" x14ac:dyDescent="0.35">
      <c r="A11" s="103"/>
      <c r="B11" s="4" t="s">
        <v>127</v>
      </c>
      <c r="C11" s="4" t="s">
        <v>128</v>
      </c>
    </row>
    <row r="12" spans="1:3" s="27" customFormat="1" ht="70" x14ac:dyDescent="0.35">
      <c r="A12" s="103"/>
      <c r="B12" s="4" t="s">
        <v>129</v>
      </c>
      <c r="C12" s="4" t="s">
        <v>130</v>
      </c>
    </row>
    <row r="13" spans="1:3" s="27" customFormat="1" ht="84" x14ac:dyDescent="0.35">
      <c r="A13" s="103"/>
      <c r="B13" s="4" t="s">
        <v>131</v>
      </c>
      <c r="C13" s="4" t="s">
        <v>132</v>
      </c>
    </row>
    <row r="14" spans="1:3" s="27" customFormat="1" ht="70" x14ac:dyDescent="0.35">
      <c r="A14" s="103"/>
      <c r="B14" s="4" t="s">
        <v>133</v>
      </c>
      <c r="C14" s="4" t="s">
        <v>134</v>
      </c>
    </row>
    <row r="15" spans="1:3" s="27" customFormat="1" ht="56" x14ac:dyDescent="0.35">
      <c r="A15" s="100" t="s">
        <v>31</v>
      </c>
      <c r="B15" s="8" t="s">
        <v>135</v>
      </c>
      <c r="C15" s="8" t="s">
        <v>136</v>
      </c>
    </row>
    <row r="16" spans="1:3" s="27" customFormat="1" ht="28" x14ac:dyDescent="0.35">
      <c r="A16" s="101"/>
      <c r="B16" s="8" t="s">
        <v>137</v>
      </c>
      <c r="C16" s="8" t="s">
        <v>138</v>
      </c>
    </row>
    <row r="17" spans="1:3" s="27" customFormat="1" ht="56" x14ac:dyDescent="0.35">
      <c r="A17" s="101"/>
      <c r="B17" s="8" t="s">
        <v>139</v>
      </c>
      <c r="C17" s="8" t="s">
        <v>140</v>
      </c>
    </row>
    <row r="18" spans="1:3" s="27" customFormat="1" ht="28" x14ac:dyDescent="0.35">
      <c r="A18" s="101"/>
      <c r="B18" s="8" t="s">
        <v>141</v>
      </c>
      <c r="C18" s="8" t="s">
        <v>142</v>
      </c>
    </row>
    <row r="19" spans="1:3" s="27" customFormat="1" ht="28" x14ac:dyDescent="0.35">
      <c r="A19" s="101"/>
      <c r="B19" s="8" t="s">
        <v>143</v>
      </c>
      <c r="C19" s="8" t="s">
        <v>144</v>
      </c>
    </row>
    <row r="20" spans="1:3" s="27" customFormat="1" ht="42" x14ac:dyDescent="0.35">
      <c r="A20" s="101"/>
      <c r="B20" s="8" t="s">
        <v>145</v>
      </c>
      <c r="C20" s="8" t="s">
        <v>146</v>
      </c>
    </row>
    <row r="21" spans="1:3" s="27" customFormat="1" ht="195" customHeight="1" x14ac:dyDescent="0.35">
      <c r="A21" s="4" t="s">
        <v>34</v>
      </c>
      <c r="B21" s="8" t="s">
        <v>147</v>
      </c>
      <c r="C21" s="8" t="s">
        <v>148</v>
      </c>
    </row>
    <row r="22" spans="1:3" s="27" customFormat="1" ht="70" x14ac:dyDescent="0.35">
      <c r="A22" s="7"/>
      <c r="B22" s="8" t="s">
        <v>149</v>
      </c>
      <c r="C22" s="8" t="s">
        <v>150</v>
      </c>
    </row>
    <row r="23" spans="1:3" s="27" customFormat="1" ht="154" x14ac:dyDescent="0.35">
      <c r="A23" s="7"/>
      <c r="B23" s="8" t="s">
        <v>151</v>
      </c>
      <c r="C23" s="8" t="s">
        <v>152</v>
      </c>
    </row>
    <row r="24" spans="1:3" s="27" customFormat="1" ht="98" x14ac:dyDescent="0.35">
      <c r="A24" s="7"/>
      <c r="B24" s="34" t="s">
        <v>153</v>
      </c>
      <c r="C24" s="34" t="s">
        <v>154</v>
      </c>
    </row>
    <row r="25" spans="1:3" s="27" customFormat="1" ht="98" x14ac:dyDescent="0.35">
      <c r="A25" s="100" t="s">
        <v>36</v>
      </c>
      <c r="B25" s="4" t="s">
        <v>155</v>
      </c>
      <c r="C25" s="4" t="s">
        <v>156</v>
      </c>
    </row>
    <row r="26" spans="1:3" s="27" customFormat="1" ht="42" x14ac:dyDescent="0.35">
      <c r="A26" s="101"/>
      <c r="B26" s="4" t="s">
        <v>157</v>
      </c>
      <c r="C26" s="4" t="s">
        <v>158</v>
      </c>
    </row>
    <row r="27" spans="1:3" s="27" customFormat="1" ht="56" x14ac:dyDescent="0.35">
      <c r="A27" s="101"/>
      <c r="B27" s="4" t="s">
        <v>159</v>
      </c>
      <c r="C27" s="4" t="s">
        <v>160</v>
      </c>
    </row>
    <row r="28" spans="1:3" s="27" customFormat="1" ht="70" x14ac:dyDescent="0.35">
      <c r="A28" s="101"/>
      <c r="B28" s="4" t="s">
        <v>161</v>
      </c>
      <c r="C28" s="4" t="s">
        <v>162</v>
      </c>
    </row>
    <row r="29" spans="1:3" s="27" customFormat="1" ht="98" x14ac:dyDescent="0.35">
      <c r="A29" s="101"/>
      <c r="B29" s="4" t="s">
        <v>163</v>
      </c>
      <c r="C29" s="4" t="s">
        <v>164</v>
      </c>
    </row>
    <row r="30" spans="1:3" ht="56" x14ac:dyDescent="0.3">
      <c r="A30" s="102"/>
      <c r="B30" s="4" t="s">
        <v>165</v>
      </c>
      <c r="C30" s="4" t="s">
        <v>166</v>
      </c>
    </row>
  </sheetData>
  <mergeCells count="4">
    <mergeCell ref="A2:A7"/>
    <mergeCell ref="A8:A14"/>
    <mergeCell ref="A15:A20"/>
    <mergeCell ref="A25:A3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46"/>
  <sheetViews>
    <sheetView showGridLines="0" workbookViewId="0">
      <pane ySplit="1" topLeftCell="A20" activePane="bottomLeft" state="frozen"/>
      <selection pane="bottomLeft" activeCell="E24" sqref="E24"/>
    </sheetView>
  </sheetViews>
  <sheetFormatPr defaultColWidth="9.1796875" defaultRowHeight="14" x14ac:dyDescent="0.35"/>
  <cols>
    <col min="1" max="1" width="20.7265625" style="20" customWidth="1"/>
    <col min="2" max="2" width="30.7265625" style="20" customWidth="1"/>
    <col min="3" max="3" width="50.7265625" style="20" customWidth="1"/>
    <col min="4" max="4" width="20" style="20" customWidth="1"/>
    <col min="5" max="16384" width="9.1796875" style="20"/>
  </cols>
  <sheetData>
    <row r="1" spans="1:3" s="27" customFormat="1" ht="20.149999999999999" customHeight="1" x14ac:dyDescent="0.35">
      <c r="A1" s="36" t="s">
        <v>14</v>
      </c>
      <c r="B1" s="36" t="s">
        <v>107</v>
      </c>
      <c r="C1" s="36" t="s">
        <v>108</v>
      </c>
    </row>
    <row r="2" spans="1:3" ht="70" x14ac:dyDescent="0.35">
      <c r="A2" s="94" t="s">
        <v>43</v>
      </c>
      <c r="B2" s="8" t="s">
        <v>149</v>
      </c>
      <c r="C2" s="8" t="s">
        <v>167</v>
      </c>
    </row>
    <row r="3" spans="1:3" ht="56" x14ac:dyDescent="0.35">
      <c r="A3" s="104"/>
      <c r="B3" s="8" t="s">
        <v>168</v>
      </c>
      <c r="C3" s="8" t="s">
        <v>169</v>
      </c>
    </row>
    <row r="4" spans="1:3" ht="56" x14ac:dyDescent="0.35">
      <c r="A4" s="104"/>
      <c r="B4" s="8" t="s">
        <v>170</v>
      </c>
      <c r="C4" s="8" t="s">
        <v>171</v>
      </c>
    </row>
    <row r="5" spans="1:3" ht="56" x14ac:dyDescent="0.35">
      <c r="A5" s="104"/>
      <c r="B5" s="8" t="s">
        <v>172</v>
      </c>
      <c r="C5" s="8" t="s">
        <v>173</v>
      </c>
    </row>
    <row r="6" spans="1:3" ht="42" x14ac:dyDescent="0.35">
      <c r="A6" s="104"/>
      <c r="B6" s="8" t="s">
        <v>174</v>
      </c>
      <c r="C6" s="8" t="s">
        <v>175</v>
      </c>
    </row>
    <row r="7" spans="1:3" ht="56" x14ac:dyDescent="0.35">
      <c r="A7" s="104"/>
      <c r="B7" s="8" t="s">
        <v>176</v>
      </c>
      <c r="C7" s="8" t="s">
        <v>177</v>
      </c>
    </row>
    <row r="8" spans="1:3" ht="42" x14ac:dyDescent="0.35">
      <c r="A8" s="95"/>
      <c r="B8" s="8" t="s">
        <v>178</v>
      </c>
      <c r="C8" s="8" t="s">
        <v>179</v>
      </c>
    </row>
    <row r="9" spans="1:3" ht="42" x14ac:dyDescent="0.35">
      <c r="A9" s="94" t="s">
        <v>45</v>
      </c>
      <c r="B9" s="11" t="s">
        <v>180</v>
      </c>
      <c r="C9" s="29" t="s">
        <v>181</v>
      </c>
    </row>
    <row r="10" spans="1:3" ht="56" x14ac:dyDescent="0.35">
      <c r="A10" s="104"/>
      <c r="B10" s="11" t="s">
        <v>182</v>
      </c>
      <c r="C10" s="29" t="s">
        <v>183</v>
      </c>
    </row>
    <row r="11" spans="1:3" ht="42" x14ac:dyDescent="0.35">
      <c r="A11" s="104"/>
      <c r="B11" s="11" t="s">
        <v>184</v>
      </c>
      <c r="C11" s="29" t="s">
        <v>185</v>
      </c>
    </row>
    <row r="12" spans="1:3" ht="28" x14ac:dyDescent="0.35">
      <c r="A12" s="104"/>
      <c r="B12" s="11" t="s">
        <v>186</v>
      </c>
      <c r="C12" s="29" t="s">
        <v>187</v>
      </c>
    </row>
    <row r="13" spans="1:3" ht="42" x14ac:dyDescent="0.35">
      <c r="A13" s="104"/>
      <c r="B13" s="11" t="s">
        <v>188</v>
      </c>
      <c r="C13" s="29" t="s">
        <v>189</v>
      </c>
    </row>
    <row r="14" spans="1:3" ht="56" x14ac:dyDescent="0.35">
      <c r="A14" s="95"/>
      <c r="B14" s="11" t="s">
        <v>190</v>
      </c>
      <c r="C14" s="29" t="s">
        <v>191</v>
      </c>
    </row>
    <row r="15" spans="1:3" ht="56" x14ac:dyDescent="0.35">
      <c r="A15" s="94" t="s">
        <v>47</v>
      </c>
      <c r="B15" s="11" t="s">
        <v>192</v>
      </c>
      <c r="C15" s="29" t="s">
        <v>193</v>
      </c>
    </row>
    <row r="16" spans="1:3" ht="42" x14ac:dyDescent="0.35">
      <c r="A16" s="104"/>
      <c r="B16" s="11" t="s">
        <v>194</v>
      </c>
      <c r="C16" s="29" t="s">
        <v>195</v>
      </c>
    </row>
    <row r="17" spans="1:3" ht="56" x14ac:dyDescent="0.35">
      <c r="A17" s="104"/>
      <c r="B17" s="11" t="s">
        <v>196</v>
      </c>
      <c r="C17" s="29" t="s">
        <v>197</v>
      </c>
    </row>
    <row r="18" spans="1:3" ht="42" x14ac:dyDescent="0.35">
      <c r="A18" s="104"/>
      <c r="B18" s="11" t="s">
        <v>198</v>
      </c>
      <c r="C18" s="29" t="s">
        <v>199</v>
      </c>
    </row>
    <row r="19" spans="1:3" ht="84" x14ac:dyDescent="0.35">
      <c r="A19" s="104"/>
      <c r="B19" s="11" t="s">
        <v>200</v>
      </c>
      <c r="C19" s="29" t="s">
        <v>201</v>
      </c>
    </row>
    <row r="20" spans="1:3" ht="70" x14ac:dyDescent="0.35">
      <c r="A20" s="104"/>
      <c r="B20" s="11" t="s">
        <v>202</v>
      </c>
      <c r="C20" s="29" t="s">
        <v>203</v>
      </c>
    </row>
    <row r="21" spans="1:3" ht="42" x14ac:dyDescent="0.35">
      <c r="A21" s="95"/>
      <c r="B21" s="11" t="s">
        <v>204</v>
      </c>
      <c r="C21" s="29" t="s">
        <v>205</v>
      </c>
    </row>
    <row r="22" spans="1:3" ht="42" x14ac:dyDescent="0.35">
      <c r="A22" s="94" t="s">
        <v>49</v>
      </c>
      <c r="B22" s="29" t="s">
        <v>206</v>
      </c>
      <c r="C22" s="29" t="s">
        <v>207</v>
      </c>
    </row>
    <row r="23" spans="1:3" ht="42" x14ac:dyDescent="0.35">
      <c r="A23" s="104"/>
      <c r="B23" s="29" t="s">
        <v>208</v>
      </c>
      <c r="C23" s="29" t="s">
        <v>209</v>
      </c>
    </row>
    <row r="24" spans="1:3" ht="56" x14ac:dyDescent="0.35">
      <c r="A24" s="104"/>
      <c r="B24" s="29" t="s">
        <v>210</v>
      </c>
      <c r="C24" s="29" t="s">
        <v>211</v>
      </c>
    </row>
    <row r="25" spans="1:3" ht="56" x14ac:dyDescent="0.35">
      <c r="A25" s="104"/>
      <c r="B25" s="29" t="s">
        <v>212</v>
      </c>
      <c r="C25" s="29" t="s">
        <v>213</v>
      </c>
    </row>
    <row r="26" spans="1:3" ht="42" x14ac:dyDescent="0.35">
      <c r="A26" s="104"/>
      <c r="B26" s="29" t="s">
        <v>214</v>
      </c>
      <c r="C26" s="30" t="s">
        <v>215</v>
      </c>
    </row>
    <row r="27" spans="1:3" ht="42" x14ac:dyDescent="0.35">
      <c r="A27" s="104"/>
      <c r="B27" s="29" t="s">
        <v>216</v>
      </c>
      <c r="C27" s="29" t="s">
        <v>217</v>
      </c>
    </row>
    <row r="28" spans="1:3" ht="28" x14ac:dyDescent="0.35">
      <c r="A28" s="104"/>
      <c r="B28" s="29" t="s">
        <v>218</v>
      </c>
      <c r="C28" s="30" t="s">
        <v>219</v>
      </c>
    </row>
    <row r="29" spans="1:3" ht="42" x14ac:dyDescent="0.35">
      <c r="A29" s="104"/>
      <c r="B29" s="29" t="s">
        <v>220</v>
      </c>
      <c r="C29" s="29" t="s">
        <v>221</v>
      </c>
    </row>
    <row r="30" spans="1:3" ht="56" x14ac:dyDescent="0.35">
      <c r="A30" s="104"/>
      <c r="B30" s="35" t="s">
        <v>222</v>
      </c>
      <c r="C30" s="29" t="s">
        <v>223</v>
      </c>
    </row>
    <row r="31" spans="1:3" ht="56" x14ac:dyDescent="0.35">
      <c r="A31" s="104"/>
      <c r="B31" s="35" t="s">
        <v>224</v>
      </c>
      <c r="C31" s="29" t="s">
        <v>225</v>
      </c>
    </row>
    <row r="32" spans="1:3" ht="56" x14ac:dyDescent="0.35">
      <c r="A32" s="95"/>
      <c r="B32" s="35" t="s">
        <v>226</v>
      </c>
      <c r="C32" s="29" t="s">
        <v>227</v>
      </c>
    </row>
    <row r="33" spans="1:3" ht="56" x14ac:dyDescent="0.35">
      <c r="A33" s="94" t="s">
        <v>51</v>
      </c>
      <c r="B33" s="11" t="s">
        <v>228</v>
      </c>
      <c r="C33" s="11" t="s">
        <v>229</v>
      </c>
    </row>
    <row r="34" spans="1:3" ht="42" x14ac:dyDescent="0.35">
      <c r="A34" s="104"/>
      <c r="B34" s="11" t="s">
        <v>230</v>
      </c>
      <c r="C34" s="11" t="s">
        <v>231</v>
      </c>
    </row>
    <row r="35" spans="1:3" ht="56" x14ac:dyDescent="0.35">
      <c r="A35" s="104"/>
      <c r="B35" s="11" t="s">
        <v>232</v>
      </c>
      <c r="C35" s="11" t="s">
        <v>233</v>
      </c>
    </row>
    <row r="36" spans="1:3" ht="56" x14ac:dyDescent="0.35">
      <c r="A36" s="104"/>
      <c r="B36" s="11" t="s">
        <v>234</v>
      </c>
      <c r="C36" s="4" t="s">
        <v>235</v>
      </c>
    </row>
    <row r="37" spans="1:3" ht="56" x14ac:dyDescent="0.35">
      <c r="A37" s="104"/>
      <c r="B37" s="11" t="s">
        <v>236</v>
      </c>
      <c r="C37" s="4" t="s">
        <v>237</v>
      </c>
    </row>
    <row r="38" spans="1:3" ht="42" x14ac:dyDescent="0.35">
      <c r="A38" s="104"/>
      <c r="B38" s="11" t="s">
        <v>238</v>
      </c>
      <c r="C38" s="4" t="s">
        <v>239</v>
      </c>
    </row>
    <row r="39" spans="1:3" ht="56" x14ac:dyDescent="0.35">
      <c r="A39" s="104"/>
      <c r="B39" s="11" t="s">
        <v>240</v>
      </c>
      <c r="C39" s="4" t="s">
        <v>241</v>
      </c>
    </row>
    <row r="40" spans="1:3" ht="42" x14ac:dyDescent="0.35">
      <c r="A40" s="104"/>
      <c r="B40" s="11" t="s">
        <v>242</v>
      </c>
      <c r="C40" s="4" t="s">
        <v>243</v>
      </c>
    </row>
    <row r="41" spans="1:3" ht="56" x14ac:dyDescent="0.35">
      <c r="A41" s="104"/>
      <c r="B41" s="11" t="s">
        <v>244</v>
      </c>
      <c r="C41" s="4" t="s">
        <v>245</v>
      </c>
    </row>
    <row r="42" spans="1:3" ht="42" x14ac:dyDescent="0.35">
      <c r="A42" s="104"/>
      <c r="B42" s="11" t="s">
        <v>246</v>
      </c>
      <c r="C42" s="4" t="s">
        <v>247</v>
      </c>
    </row>
    <row r="43" spans="1:3" ht="56" x14ac:dyDescent="0.35">
      <c r="A43" s="95"/>
      <c r="B43" s="11" t="s">
        <v>248</v>
      </c>
      <c r="C43" s="4" t="s">
        <v>249</v>
      </c>
    </row>
    <row r="44" spans="1:3" ht="28" x14ac:dyDescent="0.35">
      <c r="A44" s="105" t="s">
        <v>250</v>
      </c>
      <c r="B44" s="11" t="s">
        <v>251</v>
      </c>
      <c r="C44" s="11" t="s">
        <v>252</v>
      </c>
    </row>
    <row r="45" spans="1:3" ht="42" x14ac:dyDescent="0.35">
      <c r="A45" s="106"/>
      <c r="B45" s="11" t="s">
        <v>253</v>
      </c>
      <c r="C45" s="11" t="s">
        <v>254</v>
      </c>
    </row>
    <row r="46" spans="1:3" ht="28" x14ac:dyDescent="0.35">
      <c r="A46" s="107"/>
      <c r="B46" s="11" t="s">
        <v>255</v>
      </c>
      <c r="C46" s="11" t="s">
        <v>256</v>
      </c>
    </row>
  </sheetData>
  <mergeCells count="6">
    <mergeCell ref="A33:A43"/>
    <mergeCell ref="A44:A46"/>
    <mergeCell ref="A2:A8"/>
    <mergeCell ref="A9:A14"/>
    <mergeCell ref="A15:A21"/>
    <mergeCell ref="A22:A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96B6-948A-421B-9F04-E292CB3AB8F3}">
  <sheetPr>
    <tabColor theme="8" tint="0.39997558519241921"/>
  </sheetPr>
  <dimension ref="A1:C15"/>
  <sheetViews>
    <sheetView showGridLines="0" workbookViewId="0">
      <pane ySplit="1" topLeftCell="A2" activePane="bottomLeft" state="frozen"/>
      <selection pane="bottomLeft" activeCell="D14" sqref="D14"/>
    </sheetView>
  </sheetViews>
  <sheetFormatPr defaultColWidth="8.7265625" defaultRowHeight="14" x14ac:dyDescent="0.3"/>
  <cols>
    <col min="1" max="1" width="17.1796875" style="28" bestFit="1" customWidth="1"/>
    <col min="2" max="2" width="31.54296875" style="28" customWidth="1"/>
    <col min="3" max="3" width="41.81640625" style="28" customWidth="1"/>
    <col min="4" max="16384" width="8.7265625" style="28"/>
  </cols>
  <sheetData>
    <row r="1" spans="1:3" x14ac:dyDescent="0.3">
      <c r="A1" s="36" t="s">
        <v>14</v>
      </c>
      <c r="B1" s="36" t="s">
        <v>107</v>
      </c>
      <c r="C1" s="36" t="s">
        <v>108</v>
      </c>
    </row>
    <row r="2" spans="1:3" ht="70" x14ac:dyDescent="0.3">
      <c r="A2" s="100" t="s">
        <v>59</v>
      </c>
      <c r="B2" s="11" t="s">
        <v>257</v>
      </c>
      <c r="C2" s="11" t="s">
        <v>258</v>
      </c>
    </row>
    <row r="3" spans="1:3" ht="70" x14ac:dyDescent="0.3">
      <c r="A3" s="101"/>
      <c r="B3" s="11" t="s">
        <v>259</v>
      </c>
      <c r="C3" s="11" t="s">
        <v>260</v>
      </c>
    </row>
    <row r="4" spans="1:3" ht="70" x14ac:dyDescent="0.3">
      <c r="A4" s="101"/>
      <c r="B4" s="11" t="s">
        <v>261</v>
      </c>
      <c r="C4" s="11" t="s">
        <v>262</v>
      </c>
    </row>
    <row r="5" spans="1:3" ht="84" x14ac:dyDescent="0.3">
      <c r="A5" s="101"/>
      <c r="B5" s="11" t="s">
        <v>263</v>
      </c>
      <c r="C5" s="11" t="s">
        <v>264</v>
      </c>
    </row>
    <row r="6" spans="1:3" ht="70" x14ac:dyDescent="0.3">
      <c r="A6" s="101"/>
      <c r="B6" s="11" t="s">
        <v>265</v>
      </c>
      <c r="C6" s="11" t="s">
        <v>266</v>
      </c>
    </row>
    <row r="7" spans="1:3" ht="70" x14ac:dyDescent="0.3">
      <c r="A7" s="101"/>
      <c r="B7" s="11" t="s">
        <v>267</v>
      </c>
      <c r="C7" s="11" t="s">
        <v>268</v>
      </c>
    </row>
    <row r="8" spans="1:3" ht="70" x14ac:dyDescent="0.3">
      <c r="A8" s="101"/>
      <c r="B8" s="11" t="s">
        <v>269</v>
      </c>
      <c r="C8" s="11" t="s">
        <v>270</v>
      </c>
    </row>
    <row r="9" spans="1:3" ht="70" x14ac:dyDescent="0.3">
      <c r="A9" s="101"/>
      <c r="B9" s="4" t="s">
        <v>271</v>
      </c>
      <c r="C9" s="11" t="s">
        <v>272</v>
      </c>
    </row>
    <row r="10" spans="1:3" ht="70" x14ac:dyDescent="0.3">
      <c r="A10" s="101"/>
      <c r="B10" s="11" t="s">
        <v>273</v>
      </c>
      <c r="C10" s="11" t="s">
        <v>274</v>
      </c>
    </row>
    <row r="11" spans="1:3" ht="70" x14ac:dyDescent="0.3">
      <c r="A11" s="102"/>
      <c r="B11" s="11" t="s">
        <v>275</v>
      </c>
      <c r="C11" s="11" t="s">
        <v>276</v>
      </c>
    </row>
    <row r="12" spans="1:3" ht="98" x14ac:dyDescent="0.3">
      <c r="A12" s="108" t="s">
        <v>61</v>
      </c>
      <c r="B12" s="4" t="s">
        <v>277</v>
      </c>
      <c r="C12" s="11" t="s">
        <v>278</v>
      </c>
    </row>
    <row r="13" spans="1:3" ht="84" x14ac:dyDescent="0.3">
      <c r="A13" s="108"/>
      <c r="B13" s="4" t="s">
        <v>279</v>
      </c>
      <c r="C13" s="11" t="s">
        <v>280</v>
      </c>
    </row>
    <row r="14" spans="1:3" ht="84" x14ac:dyDescent="0.3">
      <c r="A14" s="108"/>
      <c r="B14" s="4" t="s">
        <v>281</v>
      </c>
      <c r="C14" s="11" t="s">
        <v>282</v>
      </c>
    </row>
    <row r="15" spans="1:3" ht="112" x14ac:dyDescent="0.3">
      <c r="A15" s="108"/>
      <c r="B15" s="4" t="s">
        <v>283</v>
      </c>
      <c r="C15" s="11" t="s">
        <v>284</v>
      </c>
    </row>
  </sheetData>
  <mergeCells count="2">
    <mergeCell ref="A2:A11"/>
    <mergeCell ref="A12:A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61"/>
  <sheetViews>
    <sheetView showGridLines="0" workbookViewId="0">
      <pane ySplit="1" topLeftCell="A54" activePane="bottomLeft" state="frozen"/>
      <selection pane="bottomLeft" activeCell="A51" sqref="A51:A56"/>
    </sheetView>
  </sheetViews>
  <sheetFormatPr defaultColWidth="9.1796875" defaultRowHeight="14" x14ac:dyDescent="0.35"/>
  <cols>
    <col min="1" max="1" width="20.7265625" style="20" customWidth="1"/>
    <col min="2" max="2" width="30.7265625" style="20" customWidth="1"/>
    <col min="3" max="3" width="50.7265625" style="20" customWidth="1"/>
    <col min="4" max="16384" width="9.1796875" style="20"/>
  </cols>
  <sheetData>
    <row r="1" spans="1:3" s="27" customFormat="1" ht="20.149999999999999" customHeight="1" x14ac:dyDescent="0.35">
      <c r="A1" s="46" t="s">
        <v>14</v>
      </c>
      <c r="B1" s="46" t="s">
        <v>107</v>
      </c>
      <c r="C1" s="46" t="s">
        <v>108</v>
      </c>
    </row>
    <row r="2" spans="1:3" ht="56" x14ac:dyDescent="0.35">
      <c r="A2" s="100" t="s">
        <v>70</v>
      </c>
      <c r="B2" s="29" t="s">
        <v>285</v>
      </c>
      <c r="C2" s="11" t="s">
        <v>286</v>
      </c>
    </row>
    <row r="3" spans="1:3" ht="56" x14ac:dyDescent="0.35">
      <c r="A3" s="101"/>
      <c r="B3" s="29" t="s">
        <v>287</v>
      </c>
      <c r="C3" s="11" t="s">
        <v>288</v>
      </c>
    </row>
    <row r="4" spans="1:3" ht="56" x14ac:dyDescent="0.35">
      <c r="A4" s="102"/>
      <c r="B4" s="29" t="s">
        <v>289</v>
      </c>
      <c r="C4" s="11" t="s">
        <v>290</v>
      </c>
    </row>
    <row r="5" spans="1:3" ht="42" x14ac:dyDescent="0.35">
      <c r="A5" s="100" t="s">
        <v>72</v>
      </c>
      <c r="B5" s="21" t="s">
        <v>291</v>
      </c>
      <c r="C5" s="37" t="s">
        <v>292</v>
      </c>
    </row>
    <row r="6" spans="1:3" ht="28" x14ac:dyDescent="0.35">
      <c r="A6" s="101"/>
      <c r="B6" s="21" t="s">
        <v>293</v>
      </c>
      <c r="C6" s="37" t="s">
        <v>294</v>
      </c>
    </row>
    <row r="7" spans="1:3" x14ac:dyDescent="0.35">
      <c r="A7" s="101"/>
      <c r="B7" s="21" t="s">
        <v>295</v>
      </c>
      <c r="C7" s="37" t="s">
        <v>296</v>
      </c>
    </row>
    <row r="8" spans="1:3" ht="28" x14ac:dyDescent="0.35">
      <c r="A8" s="101"/>
      <c r="B8" s="21" t="s">
        <v>297</v>
      </c>
      <c r="C8" s="37" t="s">
        <v>298</v>
      </c>
    </row>
    <row r="9" spans="1:3" ht="28" x14ac:dyDescent="0.35">
      <c r="A9" s="101"/>
      <c r="B9" s="21" t="s">
        <v>299</v>
      </c>
      <c r="C9" s="37" t="s">
        <v>300</v>
      </c>
    </row>
    <row r="10" spans="1:3" ht="28" x14ac:dyDescent="0.35">
      <c r="A10" s="101"/>
      <c r="B10" s="21" t="s">
        <v>301</v>
      </c>
      <c r="C10" s="37" t="s">
        <v>302</v>
      </c>
    </row>
    <row r="11" spans="1:3" ht="28" x14ac:dyDescent="0.35">
      <c r="A11" s="102"/>
      <c r="B11" s="21" t="s">
        <v>303</v>
      </c>
      <c r="C11" s="37" t="s">
        <v>304</v>
      </c>
    </row>
    <row r="12" spans="1:3" ht="28" x14ac:dyDescent="0.35">
      <c r="A12" s="100" t="s">
        <v>74</v>
      </c>
      <c r="B12" s="8" t="s">
        <v>305</v>
      </c>
      <c r="C12" s="8" t="s">
        <v>306</v>
      </c>
    </row>
    <row r="13" spans="1:3" ht="42" x14ac:dyDescent="0.35">
      <c r="A13" s="101"/>
      <c r="B13" s="8" t="s">
        <v>307</v>
      </c>
      <c r="C13" s="8" t="s">
        <v>308</v>
      </c>
    </row>
    <row r="14" spans="1:3" ht="28" x14ac:dyDescent="0.35">
      <c r="A14" s="101"/>
      <c r="B14" s="8" t="s">
        <v>309</v>
      </c>
      <c r="C14" s="8" t="s">
        <v>310</v>
      </c>
    </row>
    <row r="15" spans="1:3" ht="42" x14ac:dyDescent="0.35">
      <c r="A15" s="101"/>
      <c r="B15" s="38" t="s">
        <v>311</v>
      </c>
      <c r="C15" s="34" t="s">
        <v>312</v>
      </c>
    </row>
    <row r="16" spans="1:3" ht="28" x14ac:dyDescent="0.35">
      <c r="A16" s="102"/>
      <c r="B16" s="8" t="s">
        <v>313</v>
      </c>
      <c r="C16" s="8" t="s">
        <v>314</v>
      </c>
    </row>
    <row r="17" spans="1:3" ht="84" x14ac:dyDescent="0.35">
      <c r="A17" s="100" t="s">
        <v>76</v>
      </c>
      <c r="B17" s="61" t="s">
        <v>315</v>
      </c>
      <c r="C17" s="61" t="s">
        <v>316</v>
      </c>
    </row>
    <row r="18" spans="1:3" ht="70" x14ac:dyDescent="0.35">
      <c r="A18" s="101"/>
      <c r="B18" s="61" t="s">
        <v>317</v>
      </c>
      <c r="C18" s="61" t="s">
        <v>318</v>
      </c>
    </row>
    <row r="19" spans="1:3" ht="56" x14ac:dyDescent="0.35">
      <c r="A19" s="101"/>
      <c r="B19" s="61" t="s">
        <v>319</v>
      </c>
      <c r="C19" s="61" t="s">
        <v>320</v>
      </c>
    </row>
    <row r="20" spans="1:3" ht="56" x14ac:dyDescent="0.35">
      <c r="A20" s="101"/>
      <c r="B20" s="61" t="s">
        <v>321</v>
      </c>
      <c r="C20" s="61" t="s">
        <v>322</v>
      </c>
    </row>
    <row r="21" spans="1:3" ht="70" x14ac:dyDescent="0.35">
      <c r="A21" s="101"/>
      <c r="B21" s="61" t="s">
        <v>323</v>
      </c>
      <c r="C21" s="61" t="s">
        <v>324</v>
      </c>
    </row>
    <row r="22" spans="1:3" ht="56" x14ac:dyDescent="0.35">
      <c r="A22" s="101"/>
      <c r="B22" s="61" t="s">
        <v>325</v>
      </c>
      <c r="C22" s="61" t="s">
        <v>326</v>
      </c>
    </row>
    <row r="23" spans="1:3" ht="70" x14ac:dyDescent="0.35">
      <c r="A23" s="101"/>
      <c r="B23" s="61" t="s">
        <v>327</v>
      </c>
      <c r="C23" s="61" t="s">
        <v>328</v>
      </c>
    </row>
    <row r="24" spans="1:3" ht="56" x14ac:dyDescent="0.35">
      <c r="A24" s="101"/>
      <c r="B24" s="62" t="s">
        <v>329</v>
      </c>
      <c r="C24" s="61" t="s">
        <v>330</v>
      </c>
    </row>
    <row r="25" spans="1:3" ht="56" x14ac:dyDescent="0.35">
      <c r="A25" s="101"/>
      <c r="B25" s="44" t="s">
        <v>331</v>
      </c>
      <c r="C25" s="63" t="s">
        <v>332</v>
      </c>
    </row>
    <row r="26" spans="1:3" ht="70" x14ac:dyDescent="0.35">
      <c r="A26" s="101"/>
      <c r="B26" s="44" t="s">
        <v>333</v>
      </c>
      <c r="C26" s="63" t="s">
        <v>334</v>
      </c>
    </row>
    <row r="27" spans="1:3" ht="56" x14ac:dyDescent="0.35">
      <c r="A27" s="101"/>
      <c r="B27" s="44" t="s">
        <v>335</v>
      </c>
      <c r="C27" s="63" t="s">
        <v>336</v>
      </c>
    </row>
    <row r="28" spans="1:3" ht="56" x14ac:dyDescent="0.35">
      <c r="A28" s="116"/>
      <c r="B28" s="44" t="s">
        <v>337</v>
      </c>
      <c r="C28" s="63" t="s">
        <v>338</v>
      </c>
    </row>
    <row r="29" spans="1:3" ht="42" x14ac:dyDescent="0.35">
      <c r="A29" s="111" t="s">
        <v>339</v>
      </c>
      <c r="B29" s="44" t="s">
        <v>340</v>
      </c>
      <c r="C29" s="44" t="s">
        <v>341</v>
      </c>
    </row>
    <row r="30" spans="1:3" ht="42" x14ac:dyDescent="0.35">
      <c r="A30" s="112"/>
      <c r="B30" s="45" t="s">
        <v>342</v>
      </c>
      <c r="C30" s="45" t="s">
        <v>343</v>
      </c>
    </row>
    <row r="31" spans="1:3" ht="42" x14ac:dyDescent="0.35">
      <c r="A31" s="100" t="s">
        <v>82</v>
      </c>
      <c r="B31" s="4" t="s">
        <v>344</v>
      </c>
      <c r="C31" s="4" t="s">
        <v>345</v>
      </c>
    </row>
    <row r="32" spans="1:3" x14ac:dyDescent="0.35">
      <c r="A32" s="101"/>
      <c r="B32" s="4" t="s">
        <v>346</v>
      </c>
      <c r="C32" s="4" t="s">
        <v>347</v>
      </c>
    </row>
    <row r="33" spans="1:3" ht="28" x14ac:dyDescent="0.35">
      <c r="A33" s="101"/>
      <c r="B33" s="4" t="s">
        <v>348</v>
      </c>
      <c r="C33" s="4" t="s">
        <v>349</v>
      </c>
    </row>
    <row r="34" spans="1:3" x14ac:dyDescent="0.35">
      <c r="A34" s="101"/>
      <c r="B34" s="4" t="s">
        <v>350</v>
      </c>
      <c r="C34" s="4" t="s">
        <v>351</v>
      </c>
    </row>
    <row r="35" spans="1:3" ht="42" x14ac:dyDescent="0.35">
      <c r="A35" s="101"/>
      <c r="B35" s="11" t="s">
        <v>352</v>
      </c>
      <c r="C35" s="4" t="s">
        <v>353</v>
      </c>
    </row>
    <row r="36" spans="1:3" ht="42" x14ac:dyDescent="0.35">
      <c r="A36" s="101"/>
      <c r="B36" s="40" t="s">
        <v>354</v>
      </c>
      <c r="C36" s="11" t="s">
        <v>355</v>
      </c>
    </row>
    <row r="37" spans="1:3" ht="56" x14ac:dyDescent="0.35">
      <c r="A37" s="101"/>
      <c r="B37" s="40" t="s">
        <v>356</v>
      </c>
      <c r="C37" s="41" t="s">
        <v>357</v>
      </c>
    </row>
    <row r="38" spans="1:3" ht="42" x14ac:dyDescent="0.35">
      <c r="A38" s="101"/>
      <c r="B38" s="109" t="s">
        <v>358</v>
      </c>
      <c r="C38" s="42" t="s">
        <v>359</v>
      </c>
    </row>
    <row r="39" spans="1:3" ht="28" x14ac:dyDescent="0.35">
      <c r="A39" s="101"/>
      <c r="B39" s="110"/>
      <c r="C39" s="43" t="s">
        <v>360</v>
      </c>
    </row>
    <row r="40" spans="1:3" ht="56" x14ac:dyDescent="0.35">
      <c r="A40" s="101"/>
      <c r="B40" s="40" t="s">
        <v>361</v>
      </c>
      <c r="C40" s="41" t="s">
        <v>362</v>
      </c>
    </row>
    <row r="41" spans="1:3" ht="42" x14ac:dyDescent="0.35">
      <c r="A41" s="101"/>
      <c r="B41" s="40" t="s">
        <v>363</v>
      </c>
      <c r="C41" s="42" t="s">
        <v>364</v>
      </c>
    </row>
    <row r="42" spans="1:3" ht="28" x14ac:dyDescent="0.35">
      <c r="A42" s="101"/>
      <c r="B42" s="11" t="s">
        <v>365</v>
      </c>
      <c r="C42" s="11" t="s">
        <v>366</v>
      </c>
    </row>
    <row r="43" spans="1:3" ht="84" x14ac:dyDescent="0.35">
      <c r="A43" s="101"/>
      <c r="B43" s="11" t="s">
        <v>367</v>
      </c>
      <c r="C43" s="11" t="s">
        <v>368</v>
      </c>
    </row>
    <row r="44" spans="1:3" ht="70" x14ac:dyDescent="0.35">
      <c r="A44" s="101"/>
      <c r="B44" s="11" t="s">
        <v>369</v>
      </c>
      <c r="C44" s="11" t="s">
        <v>370</v>
      </c>
    </row>
    <row r="45" spans="1:3" ht="42" x14ac:dyDescent="0.35">
      <c r="A45" s="101"/>
      <c r="B45" s="40" t="s">
        <v>371</v>
      </c>
      <c r="C45" s="41" t="s">
        <v>372</v>
      </c>
    </row>
    <row r="46" spans="1:3" ht="42" x14ac:dyDescent="0.35">
      <c r="A46" s="101"/>
      <c r="B46" s="40" t="s">
        <v>373</v>
      </c>
      <c r="C46" s="11" t="s">
        <v>374</v>
      </c>
    </row>
    <row r="47" spans="1:3" ht="56" x14ac:dyDescent="0.35">
      <c r="A47" s="101"/>
      <c r="B47" s="40" t="s">
        <v>375</v>
      </c>
      <c r="C47" s="11" t="s">
        <v>376</v>
      </c>
    </row>
    <row r="48" spans="1:3" ht="42" x14ac:dyDescent="0.35">
      <c r="A48" s="101"/>
      <c r="B48" s="40" t="s">
        <v>377</v>
      </c>
      <c r="C48" s="11" t="s">
        <v>378</v>
      </c>
    </row>
    <row r="49" spans="1:3" ht="42" x14ac:dyDescent="0.35">
      <c r="A49" s="101"/>
      <c r="B49" s="40" t="s">
        <v>379</v>
      </c>
      <c r="C49" s="11" t="s">
        <v>380</v>
      </c>
    </row>
    <row r="50" spans="1:3" ht="42" x14ac:dyDescent="0.35">
      <c r="A50" s="101"/>
      <c r="B50" s="40" t="s">
        <v>381</v>
      </c>
      <c r="C50" s="11" t="s">
        <v>382</v>
      </c>
    </row>
    <row r="51" spans="1:3" ht="28" x14ac:dyDescent="0.35">
      <c r="A51" s="103" t="s">
        <v>79</v>
      </c>
      <c r="B51" s="29" t="s">
        <v>383</v>
      </c>
      <c r="C51" s="8" t="s">
        <v>384</v>
      </c>
    </row>
    <row r="52" spans="1:3" ht="28" x14ac:dyDescent="0.35">
      <c r="A52" s="103"/>
      <c r="B52" s="30" t="s">
        <v>385</v>
      </c>
      <c r="C52" s="30" t="s">
        <v>386</v>
      </c>
    </row>
    <row r="53" spans="1:3" ht="56" x14ac:dyDescent="0.35">
      <c r="A53" s="103"/>
      <c r="B53" s="30" t="s">
        <v>387</v>
      </c>
      <c r="C53" s="30" t="s">
        <v>388</v>
      </c>
    </row>
    <row r="54" spans="1:3" ht="42" x14ac:dyDescent="0.3">
      <c r="A54" s="103"/>
      <c r="B54" s="30" t="s">
        <v>389</v>
      </c>
      <c r="C54" s="31" t="s">
        <v>390</v>
      </c>
    </row>
    <row r="55" spans="1:3" ht="56" x14ac:dyDescent="0.3">
      <c r="A55" s="103"/>
      <c r="B55" s="30" t="s">
        <v>391</v>
      </c>
      <c r="C55" s="31" t="s">
        <v>392</v>
      </c>
    </row>
    <row r="56" spans="1:3" ht="28" x14ac:dyDescent="0.3">
      <c r="A56" s="103"/>
      <c r="B56" s="31" t="s">
        <v>393</v>
      </c>
      <c r="C56" s="31" t="s">
        <v>394</v>
      </c>
    </row>
    <row r="57" spans="1:3" s="28" customFormat="1" ht="56" x14ac:dyDescent="0.3">
      <c r="A57" s="113" t="s">
        <v>80</v>
      </c>
      <c r="B57" s="30" t="s">
        <v>395</v>
      </c>
      <c r="C57" s="30" t="s">
        <v>396</v>
      </c>
    </row>
    <row r="58" spans="1:3" s="28" customFormat="1" ht="42" x14ac:dyDescent="0.3">
      <c r="A58" s="114"/>
      <c r="B58" s="30" t="s">
        <v>397</v>
      </c>
      <c r="C58" s="30" t="s">
        <v>398</v>
      </c>
    </row>
    <row r="59" spans="1:3" s="28" customFormat="1" ht="28" x14ac:dyDescent="0.3">
      <c r="A59" s="114"/>
      <c r="B59" s="30" t="s">
        <v>399</v>
      </c>
      <c r="C59" s="30" t="s">
        <v>400</v>
      </c>
    </row>
    <row r="60" spans="1:3" s="28" customFormat="1" ht="28" x14ac:dyDescent="0.3">
      <c r="A60" s="114"/>
      <c r="B60" s="30" t="s">
        <v>401</v>
      </c>
      <c r="C60" s="30" t="s">
        <v>402</v>
      </c>
    </row>
    <row r="61" spans="1:3" s="28" customFormat="1" ht="28" x14ac:dyDescent="0.3">
      <c r="A61" s="115"/>
      <c r="B61" s="30" t="s">
        <v>403</v>
      </c>
      <c r="C61" s="30" t="s">
        <v>404</v>
      </c>
    </row>
  </sheetData>
  <mergeCells count="9">
    <mergeCell ref="B38:B39"/>
    <mergeCell ref="A29:A30"/>
    <mergeCell ref="A31:A50"/>
    <mergeCell ref="A57:A61"/>
    <mergeCell ref="A2:A4"/>
    <mergeCell ref="A5:A11"/>
    <mergeCell ref="A12:A16"/>
    <mergeCell ref="A17:A28"/>
    <mergeCell ref="A51:A5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2" activePane="bottomLeft" state="frozen"/>
      <selection pane="bottomLeft" activeCell="F11" sqref="F11"/>
    </sheetView>
  </sheetViews>
  <sheetFormatPr defaultColWidth="8.7265625" defaultRowHeight="14" x14ac:dyDescent="0.3"/>
  <cols>
    <col min="1" max="1" width="32.54296875" style="28" bestFit="1" customWidth="1"/>
    <col min="2" max="2" width="33.453125" style="28" bestFit="1" customWidth="1"/>
    <col min="3" max="3" width="45.1796875" style="28" bestFit="1" customWidth="1"/>
    <col min="4" max="4" width="9.7265625" style="28" bestFit="1" customWidth="1"/>
    <col min="5" max="16384" width="8.7265625" style="28"/>
  </cols>
  <sheetData>
    <row r="1" spans="1:4" s="27" customFormat="1" ht="20.149999999999999" customHeight="1" x14ac:dyDescent="0.35">
      <c r="A1" s="46" t="s">
        <v>405</v>
      </c>
      <c r="B1" s="46" t="s">
        <v>406</v>
      </c>
      <c r="C1" s="46" t="s">
        <v>407</v>
      </c>
      <c r="D1" s="46" t="s">
        <v>408</v>
      </c>
    </row>
    <row r="2" spans="1:4" x14ac:dyDescent="0.3">
      <c r="A2" s="55" t="s">
        <v>409</v>
      </c>
      <c r="B2" s="55" t="s">
        <v>410</v>
      </c>
      <c r="C2" s="55" t="s">
        <v>411</v>
      </c>
      <c r="D2" s="55">
        <v>0.75</v>
      </c>
    </row>
    <row r="3" spans="1:4" x14ac:dyDescent="0.3">
      <c r="A3" s="55" t="s">
        <v>409</v>
      </c>
      <c r="B3" s="55" t="s">
        <v>412</v>
      </c>
      <c r="C3" s="55" t="s">
        <v>413</v>
      </c>
      <c r="D3" s="55">
        <v>2</v>
      </c>
    </row>
    <row r="4" spans="1:4" x14ac:dyDescent="0.3">
      <c r="A4" s="55" t="s">
        <v>409</v>
      </c>
      <c r="B4" s="55" t="s">
        <v>414</v>
      </c>
      <c r="C4" s="55" t="s">
        <v>415</v>
      </c>
      <c r="D4" s="55">
        <v>2</v>
      </c>
    </row>
    <row r="5" spans="1:4" x14ac:dyDescent="0.3">
      <c r="A5" s="55" t="s">
        <v>416</v>
      </c>
      <c r="B5" s="55" t="s">
        <v>417</v>
      </c>
      <c r="C5" s="55" t="s">
        <v>418</v>
      </c>
      <c r="D5" s="55">
        <v>2</v>
      </c>
    </row>
    <row r="6" spans="1:4" x14ac:dyDescent="0.3">
      <c r="A6" s="55" t="s">
        <v>416</v>
      </c>
      <c r="B6" s="55" t="s">
        <v>414</v>
      </c>
      <c r="C6" s="55" t="s">
        <v>419</v>
      </c>
      <c r="D6" s="55">
        <v>2</v>
      </c>
    </row>
    <row r="7" spans="1:4" x14ac:dyDescent="0.3">
      <c r="A7" s="55" t="s">
        <v>420</v>
      </c>
      <c r="B7" s="55" t="s">
        <v>412</v>
      </c>
      <c r="C7" s="55" t="s">
        <v>421</v>
      </c>
      <c r="D7" s="55">
        <v>2</v>
      </c>
    </row>
    <row r="8" spans="1:4" x14ac:dyDescent="0.3">
      <c r="A8" s="55" t="s">
        <v>420</v>
      </c>
      <c r="B8" s="55" t="s">
        <v>422</v>
      </c>
      <c r="C8" s="55" t="s">
        <v>423</v>
      </c>
      <c r="D8" s="55">
        <v>2</v>
      </c>
    </row>
    <row r="9" spans="1:4" x14ac:dyDescent="0.3">
      <c r="A9" s="55" t="s">
        <v>424</v>
      </c>
      <c r="B9" s="55" t="s">
        <v>414</v>
      </c>
      <c r="C9" s="55" t="s">
        <v>425</v>
      </c>
      <c r="D9" s="55">
        <v>2</v>
      </c>
    </row>
    <row r="10" spans="1:4" x14ac:dyDescent="0.3">
      <c r="A10" s="55" t="s">
        <v>424</v>
      </c>
      <c r="B10" s="55" t="s">
        <v>426</v>
      </c>
      <c r="C10" s="55" t="s">
        <v>427</v>
      </c>
      <c r="D10" s="55">
        <v>2</v>
      </c>
    </row>
    <row r="11" spans="1:4" x14ac:dyDescent="0.3">
      <c r="A11" s="119" t="s">
        <v>428</v>
      </c>
      <c r="B11" s="55" t="s">
        <v>429</v>
      </c>
      <c r="C11" s="55" t="s">
        <v>430</v>
      </c>
      <c r="D11" s="55">
        <v>2</v>
      </c>
    </row>
    <row r="12" spans="1:4" x14ac:dyDescent="0.3">
      <c r="A12" s="120"/>
      <c r="B12" s="55" t="s">
        <v>431</v>
      </c>
      <c r="C12" s="55" t="s">
        <v>430</v>
      </c>
      <c r="D12" s="55">
        <v>3</v>
      </c>
    </row>
    <row r="13" spans="1:4" x14ac:dyDescent="0.3">
      <c r="A13" s="55" t="s">
        <v>432</v>
      </c>
      <c r="B13" s="55" t="s">
        <v>426</v>
      </c>
      <c r="C13" s="55" t="s">
        <v>433</v>
      </c>
      <c r="D13" s="55">
        <v>2</v>
      </c>
    </row>
    <row r="14" spans="1:4" x14ac:dyDescent="0.3">
      <c r="A14" s="55" t="s">
        <v>434</v>
      </c>
      <c r="B14" s="55" t="s">
        <v>422</v>
      </c>
      <c r="C14" s="55" t="s">
        <v>435</v>
      </c>
      <c r="D14" s="55">
        <v>2</v>
      </c>
    </row>
    <row r="15" spans="1:4" x14ac:dyDescent="0.3">
      <c r="A15" s="55" t="s">
        <v>434</v>
      </c>
      <c r="B15" s="55" t="s">
        <v>414</v>
      </c>
      <c r="C15" s="55" t="s">
        <v>436</v>
      </c>
      <c r="D15" s="55">
        <v>2</v>
      </c>
    </row>
    <row r="16" spans="1:4" x14ac:dyDescent="0.3">
      <c r="A16" s="55" t="s">
        <v>437</v>
      </c>
      <c r="B16" s="55" t="s">
        <v>426</v>
      </c>
      <c r="C16" s="55" t="s">
        <v>427</v>
      </c>
      <c r="D16" s="55">
        <v>2</v>
      </c>
    </row>
    <row r="17" spans="1:4" x14ac:dyDescent="0.3">
      <c r="A17" s="55" t="s">
        <v>437</v>
      </c>
      <c r="B17" s="55" t="s">
        <v>426</v>
      </c>
      <c r="C17" s="55" t="s">
        <v>438</v>
      </c>
      <c r="D17" s="55">
        <v>2</v>
      </c>
    </row>
    <row r="18" spans="1:4" x14ac:dyDescent="0.3">
      <c r="A18" s="65" t="s">
        <v>439</v>
      </c>
      <c r="B18" s="65" t="s">
        <v>414</v>
      </c>
      <c r="C18" s="65" t="s">
        <v>440</v>
      </c>
      <c r="D18" s="65">
        <v>2</v>
      </c>
    </row>
    <row r="19" spans="1:4" x14ac:dyDescent="0.3">
      <c r="A19" s="117" t="s">
        <v>441</v>
      </c>
      <c r="B19" s="66" t="s">
        <v>442</v>
      </c>
      <c r="C19" s="66" t="s">
        <v>443</v>
      </c>
      <c r="D19" s="66">
        <v>2</v>
      </c>
    </row>
    <row r="20" spans="1:4" x14ac:dyDescent="0.3">
      <c r="A20" s="118"/>
      <c r="B20" s="66" t="s">
        <v>444</v>
      </c>
      <c r="C20" s="66" t="s">
        <v>445</v>
      </c>
      <c r="D20" s="66">
        <v>3.5</v>
      </c>
    </row>
    <row r="21" spans="1:4" x14ac:dyDescent="0.3">
      <c r="A21" s="66" t="s">
        <v>446</v>
      </c>
      <c r="B21" s="66" t="s">
        <v>447</v>
      </c>
      <c r="C21" s="66" t="s">
        <v>448</v>
      </c>
      <c r="D21" s="66">
        <v>0.75</v>
      </c>
    </row>
  </sheetData>
  <mergeCells count="2">
    <mergeCell ref="A19:A20"/>
    <mergeCell ref="A11:A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07A5-3FC1-4E73-BA3D-9D9EE25180D4}">
  <sheetPr>
    <tabColor rgb="FF92D050"/>
  </sheetPr>
  <dimension ref="A1:B5"/>
  <sheetViews>
    <sheetView showGridLines="0" workbookViewId="0">
      <pane ySplit="1" topLeftCell="A2" activePane="bottomLeft" state="frozen"/>
      <selection pane="bottomLeft" activeCell="E2" sqref="E2"/>
    </sheetView>
  </sheetViews>
  <sheetFormatPr defaultColWidth="9.1796875" defaultRowHeight="14" x14ac:dyDescent="0.35"/>
  <cols>
    <col min="1" max="1" width="38.7265625" style="20" customWidth="1"/>
    <col min="2" max="2" width="48.26953125" style="20" customWidth="1"/>
    <col min="3" max="16384" width="9.1796875" style="20"/>
  </cols>
  <sheetData>
    <row r="1" spans="1:2" s="28" customFormat="1" x14ac:dyDescent="0.3">
      <c r="A1" s="54" t="s">
        <v>449</v>
      </c>
      <c r="B1" s="54" t="s">
        <v>450</v>
      </c>
    </row>
    <row r="2" spans="1:2" ht="98" x14ac:dyDescent="0.35">
      <c r="A2" s="30" t="s">
        <v>451</v>
      </c>
      <c r="B2" s="30" t="s">
        <v>452</v>
      </c>
    </row>
    <row r="3" spans="1:2" ht="56" x14ac:dyDescent="0.35">
      <c r="A3" s="30" t="s">
        <v>453</v>
      </c>
      <c r="B3" s="30" t="s">
        <v>454</v>
      </c>
    </row>
    <row r="4" spans="1:2" ht="42" x14ac:dyDescent="0.35">
      <c r="A4" s="11" t="s">
        <v>455</v>
      </c>
      <c r="B4" s="12" t="s">
        <v>456</v>
      </c>
    </row>
    <row r="5" spans="1:2" ht="98" x14ac:dyDescent="0.35">
      <c r="A5" s="13" t="s">
        <v>457</v>
      </c>
      <c r="B5" s="39" t="s">
        <v>458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C51D-F89E-421E-B84C-D1A3AAC1DFC0}">
  <sheetPr>
    <tabColor theme="5" tint="-0.249977111117893"/>
  </sheetPr>
  <dimension ref="A1:B17"/>
  <sheetViews>
    <sheetView showGridLines="0" workbookViewId="0">
      <pane ySplit="1" topLeftCell="A2" activePane="bottomLeft" state="frozen"/>
      <selection pane="bottomLeft" activeCell="E6" sqref="E6"/>
    </sheetView>
  </sheetViews>
  <sheetFormatPr defaultColWidth="8.7265625" defaultRowHeight="14" x14ac:dyDescent="0.3"/>
  <cols>
    <col min="1" max="1" width="34.453125" style="28" customWidth="1"/>
    <col min="2" max="2" width="51.453125" style="28" customWidth="1"/>
    <col min="3" max="16384" width="8.7265625" style="28"/>
  </cols>
  <sheetData>
    <row r="1" spans="1:2" x14ac:dyDescent="0.3">
      <c r="A1" s="52" t="s">
        <v>459</v>
      </c>
      <c r="B1" s="53" t="s">
        <v>460</v>
      </c>
    </row>
    <row r="2" spans="1:2" ht="28" x14ac:dyDescent="0.3">
      <c r="A2" s="48" t="s">
        <v>461</v>
      </c>
      <c r="B2" s="49" t="s">
        <v>462</v>
      </c>
    </row>
    <row r="3" spans="1:2" x14ac:dyDescent="0.3">
      <c r="A3" s="50" t="s">
        <v>463</v>
      </c>
      <c r="B3" s="49" t="s">
        <v>464</v>
      </c>
    </row>
    <row r="4" spans="1:2" x14ac:dyDescent="0.3">
      <c r="A4" s="50" t="s">
        <v>465</v>
      </c>
      <c r="B4" s="49" t="s">
        <v>466</v>
      </c>
    </row>
    <row r="5" spans="1:2" x14ac:dyDescent="0.3">
      <c r="A5" s="121" t="s">
        <v>467</v>
      </c>
      <c r="B5" s="51" t="s">
        <v>468</v>
      </c>
    </row>
    <row r="6" spans="1:2" x14ac:dyDescent="0.3">
      <c r="A6" s="121"/>
      <c r="B6" s="51" t="s">
        <v>469</v>
      </c>
    </row>
    <row r="7" spans="1:2" x14ac:dyDescent="0.3">
      <c r="A7" s="121"/>
      <c r="B7" s="51" t="s">
        <v>470</v>
      </c>
    </row>
    <row r="8" spans="1:2" x14ac:dyDescent="0.3">
      <c r="A8" s="121"/>
      <c r="B8" s="51" t="s">
        <v>471</v>
      </c>
    </row>
    <row r="9" spans="1:2" x14ac:dyDescent="0.3">
      <c r="A9" s="122"/>
      <c r="B9" s="49" t="s">
        <v>472</v>
      </c>
    </row>
    <row r="10" spans="1:2" x14ac:dyDescent="0.3">
      <c r="A10" s="123" t="s">
        <v>473</v>
      </c>
      <c r="B10" s="51" t="s">
        <v>474</v>
      </c>
    </row>
    <row r="11" spans="1:2" x14ac:dyDescent="0.3">
      <c r="A11" s="123"/>
      <c r="B11" s="51" t="s">
        <v>475</v>
      </c>
    </row>
    <row r="12" spans="1:2" x14ac:dyDescent="0.3">
      <c r="A12" s="123"/>
      <c r="B12" s="51" t="s">
        <v>476</v>
      </c>
    </row>
    <row r="13" spans="1:2" x14ac:dyDescent="0.3">
      <c r="A13" s="124"/>
      <c r="B13" s="49" t="s">
        <v>477</v>
      </c>
    </row>
    <row r="14" spans="1:2" x14ac:dyDescent="0.3">
      <c r="A14" s="123" t="s">
        <v>478</v>
      </c>
      <c r="B14" s="51" t="s">
        <v>479</v>
      </c>
    </row>
    <row r="15" spans="1:2" x14ac:dyDescent="0.3">
      <c r="A15" s="123"/>
      <c r="B15" s="51" t="s">
        <v>480</v>
      </c>
    </row>
    <row r="16" spans="1:2" x14ac:dyDescent="0.3">
      <c r="A16" s="123"/>
      <c r="B16" s="51" t="s">
        <v>481</v>
      </c>
    </row>
    <row r="17" spans="1:2" x14ac:dyDescent="0.3">
      <c r="A17" s="124"/>
      <c r="B17" s="49" t="s">
        <v>482</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42D1C1-4134-41C4-8F27-742A1CCEAE3B}">
  <ds:schemaRefs>
    <ds:schemaRef ds:uri="3c35e321-f73a-4dae-ae38-a0459de24735"/>
    <ds:schemaRef ds:uri="http://schemas.microsoft.com/office/2006/documentManagement/types"/>
    <ds:schemaRef ds:uri="http://purl.org/dc/dcmitype/"/>
    <ds:schemaRef ds:uri="c6f516c4-2602-422c-aa9a-755893ba4f98"/>
    <ds:schemaRef ds:uri="http://purl.org/dc/terms/"/>
    <ds:schemaRef ds:uri="http://schemas.microsoft.com/office/infopath/2007/PartnerControls"/>
    <ds:schemaRef ds:uri="http://purl.org/dc/elements/1.1/"/>
    <ds:schemaRef ds:uri="951c5514-b77c-4532-82d5-a05f2f7d58e2"/>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0F909B2-58A6-464C-BE22-08389E944B47}">
  <ds:schemaRefs>
    <ds:schemaRef ds:uri="http://schemas.microsoft.com/sharepoint/v3/contenttype/forms"/>
  </ds:schemaRefs>
</ds:datastoreItem>
</file>

<file path=customXml/itemProps3.xml><?xml version="1.0" encoding="utf-8"?>
<ds:datastoreItem xmlns:ds="http://schemas.openxmlformats.org/officeDocument/2006/customXml" ds:itemID="{23F56F4C-9914-4E25-AE46-9BF0315C92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Performance Outcomes</vt:lpstr>
      <vt:lpstr>Sprint 0&amp;1 - Tech Scope</vt:lpstr>
      <vt:lpstr>Sprint 2 - Tech Scope</vt:lpstr>
      <vt:lpstr>Sprint 3 - Tech Scope</vt:lpstr>
      <vt:lpstr>Stage 4 -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2023-10-16T01:13:56Z</dcterms:created>
  <dcterms:modified xsi:type="dcterms:W3CDTF">2026-02-05T08:39:32Z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